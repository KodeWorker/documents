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453841\Desktop\"/>
    </mc:Choice>
  </mc:AlternateContent>
  <bookViews>
    <workbookView xWindow="0" yWindow="0" windowWidth="28800" windowHeight="12390"/>
  </bookViews>
  <sheets>
    <sheet name="自動計分表" sheetId="13" r:id="rId1"/>
    <sheet name="區隊積分統計" sheetId="15" r:id="rId2"/>
    <sheet name="賽程表" sheetId="11" r:id="rId3"/>
    <sheet name="計分表(手動計分用)" sheetId="16" r:id="rId4"/>
    <sheet name="測試積分" sheetId="14" r:id="rId5"/>
  </sheets>
  <functionGroups builtInGroupCount="18"/>
  <definedNames>
    <definedName name="_xlnm.Print_Area" localSheetId="0">自動計分表!$A$1:$I$156</definedName>
    <definedName name="_xlnm.Print_Area" localSheetId="1">區隊積分統計!$A$1:$I$41</definedName>
    <definedName name="_xlnm.Print_Area" localSheetId="2">賽程表!$A$1:$I$40</definedName>
    <definedName name="_xlnm.Print_Titles" localSheetId="0">自動計分表!$1:$1</definedName>
    <definedName name="_xlnm.Print_Titles" localSheetId="1">區隊積分統計!$1:$1</definedName>
    <definedName name="_xlnm.Print_Titles" localSheetId="2">賽程表!$1:$1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4" i="13" l="1"/>
  <c r="F37" i="13"/>
  <c r="H33" i="13"/>
  <c r="G8" i="13"/>
  <c r="F33" i="15" l="1"/>
  <c r="F35" i="15" s="1"/>
  <c r="E33" i="15"/>
  <c r="E35" i="15" s="1"/>
  <c r="D33" i="15"/>
  <c r="D35" i="15" s="1"/>
  <c r="G33" i="15"/>
  <c r="G35" i="15" s="1"/>
  <c r="G36" i="15" l="1"/>
  <c r="D36" i="15"/>
  <c r="E36" i="15"/>
  <c r="F36" i="15"/>
  <c r="E150" i="13" l="1"/>
  <c r="E151" i="13" s="1"/>
  <c r="A9" i="14"/>
  <c r="B8" i="14"/>
  <c r="G16" i="13" l="1"/>
  <c r="G17" i="13" s="1"/>
  <c r="H16" i="13"/>
  <c r="H17" i="13" s="1"/>
  <c r="F16" i="13"/>
  <c r="F17" i="13" s="1"/>
  <c r="D16" i="13"/>
  <c r="D17" i="13" s="1"/>
  <c r="E16" i="13"/>
  <c r="E17" i="13" s="1"/>
  <c r="E77" i="13"/>
  <c r="E78" i="13" s="1"/>
  <c r="F77" i="13"/>
  <c r="F78" i="13" s="1"/>
  <c r="G77" i="13"/>
  <c r="G78" i="13" s="1"/>
  <c r="H77" i="13"/>
  <c r="H78" i="13" s="1"/>
  <c r="I77" i="13"/>
  <c r="F150" i="13"/>
  <c r="F151" i="13" s="1"/>
  <c r="G150" i="13"/>
  <c r="G151" i="13" s="1"/>
  <c r="H150" i="13"/>
  <c r="H151" i="13" s="1"/>
  <c r="F146" i="13"/>
  <c r="F147" i="13" s="1"/>
  <c r="G146" i="13"/>
  <c r="G147" i="13" s="1"/>
  <c r="E146" i="13"/>
  <c r="E147" i="13" s="1"/>
  <c r="F142" i="13"/>
  <c r="F143" i="13" s="1"/>
  <c r="G142" i="13"/>
  <c r="G143" i="13" s="1"/>
  <c r="E142" i="13"/>
  <c r="E143" i="13" s="1"/>
  <c r="G137" i="13"/>
  <c r="G138" i="13" s="1"/>
  <c r="F137" i="13"/>
  <c r="F138" i="13" s="1"/>
  <c r="E133" i="13"/>
  <c r="E134" i="13" s="1"/>
  <c r="F133" i="13"/>
  <c r="F134" i="13" s="1"/>
  <c r="G133" i="13"/>
  <c r="G134" i="13" s="1"/>
  <c r="H133" i="13"/>
  <c r="H134" i="13" s="1"/>
  <c r="I133" i="13"/>
  <c r="I134" i="13" s="1"/>
  <c r="D133" i="13"/>
  <c r="D134" i="13" s="1"/>
  <c r="F129" i="13"/>
  <c r="F130" i="13" s="1"/>
  <c r="G129" i="13"/>
  <c r="G130" i="13" s="1"/>
  <c r="H129" i="13"/>
  <c r="H130" i="13" s="1"/>
  <c r="E129" i="13"/>
  <c r="E130" i="13" s="1"/>
  <c r="E125" i="13"/>
  <c r="E126" i="13" s="1"/>
  <c r="F125" i="13"/>
  <c r="F126" i="13" s="1"/>
  <c r="G125" i="13"/>
  <c r="G126" i="13" s="1"/>
  <c r="H125" i="13"/>
  <c r="H126" i="13" s="1"/>
  <c r="D125" i="13"/>
  <c r="D126" i="13" s="1"/>
  <c r="F121" i="13"/>
  <c r="F122" i="13" s="1"/>
  <c r="G121" i="13"/>
  <c r="G122" i="13" s="1"/>
  <c r="E121" i="13"/>
  <c r="E122" i="13" s="1"/>
  <c r="F117" i="13"/>
  <c r="F118" i="13" s="1"/>
  <c r="G117" i="13"/>
  <c r="G118" i="13" s="1"/>
  <c r="H117" i="13"/>
  <c r="H118" i="13" s="1"/>
  <c r="E117" i="13"/>
  <c r="E118" i="13" s="1"/>
  <c r="F113" i="13"/>
  <c r="F114" i="13" s="1"/>
  <c r="G113" i="13"/>
  <c r="G114" i="13" s="1"/>
  <c r="H113" i="13"/>
  <c r="H114" i="13" s="1"/>
  <c r="E113" i="13"/>
  <c r="E114" i="13" s="1"/>
  <c r="E109" i="13"/>
  <c r="E110" i="13" s="1"/>
  <c r="F109" i="13"/>
  <c r="F110" i="13" s="1"/>
  <c r="G109" i="13"/>
  <c r="G110" i="13" s="1"/>
  <c r="H109" i="13"/>
  <c r="H110" i="13" s="1"/>
  <c r="D109" i="13"/>
  <c r="D110" i="13" s="1"/>
  <c r="E105" i="13"/>
  <c r="E106" i="13" s="1"/>
  <c r="F105" i="13"/>
  <c r="F106" i="13" s="1"/>
  <c r="G105" i="13"/>
  <c r="G106" i="13" s="1"/>
  <c r="H105" i="13"/>
  <c r="H106" i="13" s="1"/>
  <c r="D105" i="13"/>
  <c r="D106" i="13" s="1"/>
  <c r="E101" i="13"/>
  <c r="E102" i="13" s="1"/>
  <c r="F101" i="13"/>
  <c r="F102" i="13" s="1"/>
  <c r="G101" i="13"/>
  <c r="G102" i="13" s="1"/>
  <c r="H101" i="13"/>
  <c r="H102" i="13" s="1"/>
  <c r="D101" i="13"/>
  <c r="D102" i="13" s="1"/>
  <c r="F97" i="13"/>
  <c r="F98" i="13" s="1"/>
  <c r="G97" i="13"/>
  <c r="G98" i="13" s="1"/>
  <c r="H97" i="13"/>
  <c r="H98" i="13" s="1"/>
  <c r="E97" i="13"/>
  <c r="E98" i="13" s="1"/>
  <c r="E93" i="13"/>
  <c r="E94" i="13" s="1"/>
  <c r="F93" i="13"/>
  <c r="F94" i="13" s="1"/>
  <c r="G93" i="13"/>
  <c r="G94" i="13" s="1"/>
  <c r="H93" i="13"/>
  <c r="H94" i="13" s="1"/>
  <c r="D93" i="13"/>
  <c r="D94" i="13" s="1"/>
  <c r="H89" i="13"/>
  <c r="H90" i="13" s="1"/>
  <c r="G89" i="13"/>
  <c r="G90" i="13" s="1"/>
  <c r="E89" i="13"/>
  <c r="E90" i="13" s="1"/>
  <c r="F89" i="13"/>
  <c r="F90" i="13" s="1"/>
  <c r="D89" i="13"/>
  <c r="D90" i="13" s="1"/>
  <c r="E85" i="13"/>
  <c r="E86" i="13" s="1"/>
  <c r="F85" i="13"/>
  <c r="F86" i="13" s="1"/>
  <c r="G85" i="13"/>
  <c r="G86" i="13" s="1"/>
  <c r="H85" i="13"/>
  <c r="H86" i="13" s="1"/>
  <c r="I85" i="13"/>
  <c r="D85" i="13"/>
  <c r="D86" i="13" s="1"/>
  <c r="E81" i="13"/>
  <c r="E82" i="13" s="1"/>
  <c r="F81" i="13"/>
  <c r="F82" i="13" s="1"/>
  <c r="G81" i="13"/>
  <c r="G82" i="13" s="1"/>
  <c r="H81" i="13"/>
  <c r="H82" i="13" s="1"/>
  <c r="D81" i="13"/>
  <c r="D82" i="13" s="1"/>
  <c r="D77" i="13"/>
  <c r="D78" i="13" s="1"/>
  <c r="E73" i="13"/>
  <c r="E74" i="13" s="1"/>
  <c r="F73" i="13"/>
  <c r="F74" i="13" s="1"/>
  <c r="G73" i="13"/>
  <c r="G74" i="13" s="1"/>
  <c r="H73" i="13"/>
  <c r="H74" i="13" s="1"/>
  <c r="D73" i="13"/>
  <c r="D74" i="13" s="1"/>
  <c r="F69" i="13"/>
  <c r="F70" i="13" s="1"/>
  <c r="G69" i="13"/>
  <c r="G70" i="13" s="1"/>
  <c r="H69" i="13"/>
  <c r="H70" i="13" s="1"/>
  <c r="E69" i="13"/>
  <c r="E70" i="13" s="1"/>
  <c r="I65" i="13"/>
  <c r="H65" i="13"/>
  <c r="F65" i="13"/>
  <c r="G65" i="13"/>
  <c r="E65" i="13"/>
  <c r="E61" i="13"/>
  <c r="D61" i="13" s="1"/>
  <c r="D62" i="13" s="1"/>
  <c r="I61" i="13"/>
  <c r="F56" i="13"/>
  <c r="F57" i="13" s="1"/>
  <c r="G56" i="13"/>
  <c r="G57" i="13" s="1"/>
  <c r="E56" i="13"/>
  <c r="E57" i="13" s="1"/>
  <c r="F52" i="13"/>
  <c r="G52" i="13"/>
  <c r="H52" i="13"/>
  <c r="E52" i="13"/>
  <c r="E53" i="13" s="1"/>
  <c r="G48" i="13"/>
  <c r="H48" i="13"/>
  <c r="I48" i="13"/>
  <c r="F48" i="13"/>
  <c r="E48" i="13"/>
  <c r="D48" i="13"/>
  <c r="D49" i="13" s="1"/>
  <c r="E44" i="13"/>
  <c r="F44" i="13"/>
  <c r="G44" i="13"/>
  <c r="H44" i="13"/>
  <c r="I44" i="13"/>
  <c r="D45" i="13"/>
  <c r="F40" i="13"/>
  <c r="G40" i="13"/>
  <c r="H40" i="13"/>
  <c r="E40" i="13"/>
  <c r="E41" i="13" s="1"/>
  <c r="F36" i="13"/>
  <c r="G36" i="13"/>
  <c r="E36" i="13"/>
  <c r="E37" i="13" s="1"/>
  <c r="E32" i="13"/>
  <c r="F32" i="13"/>
  <c r="G32" i="13"/>
  <c r="H32" i="13"/>
  <c r="D32" i="13"/>
  <c r="D33" i="13" s="1"/>
  <c r="F28" i="13"/>
  <c r="F29" i="13" s="1"/>
  <c r="G28" i="13"/>
  <c r="G29" i="13" s="1"/>
  <c r="H28" i="13"/>
  <c r="H29" i="13" s="1"/>
  <c r="E28" i="13"/>
  <c r="E29" i="13" s="1"/>
  <c r="H24" i="13"/>
  <c r="H25" i="13" s="1"/>
  <c r="F24" i="13"/>
  <c r="F25" i="13" s="1"/>
  <c r="G24" i="13"/>
  <c r="G25" i="13" s="1"/>
  <c r="E24" i="13"/>
  <c r="E25" i="13" s="1"/>
  <c r="H20" i="13"/>
  <c r="H21" i="13" s="1"/>
  <c r="I20" i="13"/>
  <c r="I21" i="13" s="1"/>
  <c r="G20" i="13"/>
  <c r="G21" i="13" s="1"/>
  <c r="E20" i="13"/>
  <c r="E21" i="13" s="1"/>
  <c r="F20" i="13"/>
  <c r="F21" i="13" s="1"/>
  <c r="D20" i="13"/>
  <c r="D21" i="13" s="1"/>
  <c r="E12" i="13"/>
  <c r="E13" i="13" s="1"/>
  <c r="F8" i="13"/>
  <c r="F9" i="13" s="1"/>
  <c r="G9" i="13"/>
  <c r="H8" i="13"/>
  <c r="H9" i="13" s="1"/>
  <c r="E8" i="13"/>
  <c r="E9" i="13" s="1"/>
  <c r="G4" i="13"/>
  <c r="G5" i="13" s="1"/>
  <c r="E4" i="13"/>
  <c r="E5" i="13" s="1"/>
  <c r="F4" i="13"/>
  <c r="F5" i="13" s="1"/>
  <c r="B5" i="14"/>
  <c r="C6" i="14" s="1"/>
  <c r="B6" i="14"/>
  <c r="H61" i="13" l="1"/>
  <c r="D65" i="13"/>
  <c r="D66" i="13" s="1"/>
  <c r="G61" i="13"/>
  <c r="F61" i="13"/>
  <c r="E150" i="14"/>
  <c r="G66" i="13" l="1"/>
  <c r="I66" i="13"/>
  <c r="H66" i="13"/>
  <c r="G37" i="13"/>
  <c r="F41" i="13"/>
  <c r="G41" i="13"/>
  <c r="H41" i="13"/>
  <c r="E45" i="13"/>
  <c r="F45" i="13"/>
  <c r="G45" i="13"/>
  <c r="H45" i="13"/>
  <c r="I45" i="13"/>
  <c r="E49" i="13"/>
  <c r="F49" i="13"/>
  <c r="G49" i="13"/>
  <c r="H49" i="13"/>
  <c r="I49" i="13"/>
  <c r="E66" i="13"/>
  <c r="F66" i="13"/>
  <c r="I78" i="13"/>
  <c r="I86" i="13"/>
  <c r="E62" i="13"/>
  <c r="F62" i="13"/>
  <c r="G62" i="13"/>
  <c r="H62" i="13"/>
  <c r="I62" i="13"/>
  <c r="E33" i="13"/>
  <c r="F33" i="13"/>
  <c r="G33" i="13"/>
  <c r="F12" i="13"/>
  <c r="F13" i="13" s="1"/>
  <c r="G12" i="13"/>
  <c r="G13" i="13" s="1"/>
  <c r="G153" i="13"/>
  <c r="H153" i="13"/>
  <c r="E153" i="13"/>
  <c r="F153" i="13"/>
  <c r="E155" i="13" l="1"/>
  <c r="F155" i="13"/>
  <c r="H155" i="13"/>
  <c r="G155" i="13"/>
  <c r="H156" i="13" l="1"/>
  <c r="E156" i="13"/>
  <c r="F156" i="13"/>
  <c r="G156" i="13"/>
</calcChain>
</file>

<file path=xl/sharedStrings.xml><?xml version="1.0" encoding="utf-8"?>
<sst xmlns="http://schemas.openxmlformats.org/spreadsheetml/2006/main" count="1093" uniqueCount="444">
  <si>
    <t>男子200公尺四式混合接力</t>
  </si>
  <si>
    <t>次序</t>
    <phoneticPr fontId="5" type="noConversion"/>
  </si>
  <si>
    <t>第二水道</t>
    <phoneticPr fontId="5" type="noConversion"/>
  </si>
  <si>
    <t>時間</t>
    <phoneticPr fontId="5" type="noConversion"/>
  </si>
  <si>
    <t>成績/積分</t>
    <phoneticPr fontId="4" type="noConversion"/>
  </si>
  <si>
    <t>17:20~17:32</t>
    <phoneticPr fontId="5" type="noConversion"/>
  </si>
  <si>
    <t>邱逸夫/A00480</t>
    <phoneticPr fontId="5" type="noConversion"/>
  </si>
  <si>
    <t>男壯100公尺蛙式</t>
    <phoneticPr fontId="4" type="noConversion"/>
  </si>
  <si>
    <t>19:24~19:26</t>
    <phoneticPr fontId="5" type="noConversion"/>
  </si>
  <si>
    <t>男青200公尺蛙式</t>
    <phoneticPr fontId="4" type="noConversion"/>
  </si>
  <si>
    <t>陳偉吉/990317</t>
    <phoneticPr fontId="5" type="noConversion"/>
  </si>
  <si>
    <t xml:space="preserve">主管200公尺接力賽
(至少需一名組長職位之主管) </t>
    <phoneticPr fontId="4" type="noConversion"/>
  </si>
  <si>
    <t>男子組200公尺接力</t>
    <phoneticPr fontId="4" type="noConversion"/>
  </si>
  <si>
    <t>區隊總積分</t>
    <phoneticPr fontId="5" type="noConversion"/>
  </si>
  <si>
    <t>比  賽  項  目</t>
    <phoneticPr fontId="5" type="noConversion"/>
  </si>
  <si>
    <t>第三水道</t>
    <phoneticPr fontId="5" type="noConversion"/>
  </si>
  <si>
    <t>第一水道</t>
    <phoneticPr fontId="5" type="noConversion"/>
  </si>
  <si>
    <t>第四水道</t>
    <phoneticPr fontId="5" type="noConversion"/>
  </si>
  <si>
    <t>第五水道</t>
    <phoneticPr fontId="5" type="noConversion"/>
  </si>
  <si>
    <t>第六水道</t>
    <phoneticPr fontId="5" type="noConversion"/>
  </si>
  <si>
    <t>男子800公尺自由式(限19分鐘)</t>
    <phoneticPr fontId="4" type="noConversion"/>
  </si>
  <si>
    <t>17:00~17:19</t>
    <phoneticPr fontId="5" type="noConversion"/>
  </si>
  <si>
    <t>成績</t>
    <phoneticPr fontId="4" type="noConversion"/>
  </si>
  <si>
    <t>名次</t>
    <phoneticPr fontId="4" type="noConversion"/>
  </si>
  <si>
    <t>積分</t>
    <phoneticPr fontId="4" type="noConversion"/>
  </si>
  <si>
    <t>男子400公尺自由式(限12分鐘)</t>
    <phoneticPr fontId="4" type="noConversion"/>
  </si>
  <si>
    <t>女青/壯100公尺蛙式</t>
    <phoneticPr fontId="4" type="noConversion"/>
  </si>
  <si>
    <t>池冠儀/A40297</t>
    <phoneticPr fontId="4" type="noConversion"/>
  </si>
  <si>
    <t>成績</t>
  </si>
  <si>
    <t>名次</t>
  </si>
  <si>
    <t>積分</t>
  </si>
  <si>
    <t>男青100公尺蛙式</t>
    <phoneticPr fontId="4" type="noConversion"/>
  </si>
  <si>
    <t>吳事修/950513</t>
    <phoneticPr fontId="4" type="noConversion"/>
  </si>
  <si>
    <t>宋庭禎/A10210</t>
    <phoneticPr fontId="5" type="noConversion"/>
  </si>
  <si>
    <t>女子100公尺自由式</t>
    <phoneticPr fontId="4" type="noConversion"/>
  </si>
  <si>
    <t>黃郁茹/A30123</t>
    <phoneticPr fontId="5" type="noConversion"/>
  </si>
  <si>
    <t>黃健智/A30367</t>
    <phoneticPr fontId="5" type="noConversion"/>
  </si>
  <si>
    <t>張語軒/A30007</t>
    <phoneticPr fontId="5" type="noConversion"/>
  </si>
  <si>
    <t>陳世杰/910720</t>
    <phoneticPr fontId="5" type="noConversion"/>
  </si>
  <si>
    <t>中場休息5分鐘</t>
    <phoneticPr fontId="5" type="noConversion"/>
  </si>
  <si>
    <t>陳漢強/890056</t>
    <phoneticPr fontId="5" type="noConversion"/>
  </si>
  <si>
    <t>女青50公尺蛙式</t>
    <phoneticPr fontId="4" type="noConversion"/>
  </si>
  <si>
    <t>18:51~18:53</t>
    <phoneticPr fontId="5" type="noConversion"/>
  </si>
  <si>
    <t>林茗歆/A50136</t>
    <phoneticPr fontId="5" type="noConversion"/>
  </si>
  <si>
    <t>18:54~18:56</t>
    <phoneticPr fontId="5" type="noConversion"/>
  </si>
  <si>
    <t>女壯50公尺蛙式</t>
    <phoneticPr fontId="4" type="noConversion"/>
  </si>
  <si>
    <t>18:57~18:59</t>
    <phoneticPr fontId="5" type="noConversion"/>
  </si>
  <si>
    <t>袁敦儀/920329</t>
    <phoneticPr fontId="5" type="noConversion"/>
  </si>
  <si>
    <t>易幼明/771086</t>
    <phoneticPr fontId="4" type="noConversion"/>
  </si>
  <si>
    <t>男青50公尺蛙式</t>
    <phoneticPr fontId="4" type="noConversion"/>
  </si>
  <si>
    <t>19:00~19:02</t>
    <phoneticPr fontId="5" type="noConversion"/>
  </si>
  <si>
    <t>劉耕孜/A30202</t>
    <phoneticPr fontId="5" type="noConversion"/>
  </si>
  <si>
    <t>陳紀綱/A10240</t>
    <phoneticPr fontId="5" type="noConversion"/>
  </si>
  <si>
    <t>賴志維/A40056</t>
    <phoneticPr fontId="5" type="noConversion"/>
  </si>
  <si>
    <t>19:06~19:08</t>
    <phoneticPr fontId="5" type="noConversion"/>
  </si>
  <si>
    <t>男壯50公尺蛙式</t>
    <phoneticPr fontId="4" type="noConversion"/>
  </si>
  <si>
    <t>19:09~19:11</t>
    <phoneticPr fontId="5" type="noConversion"/>
  </si>
  <si>
    <t>19:15~19:17</t>
    <phoneticPr fontId="5" type="noConversion"/>
  </si>
  <si>
    <t>李家昕/990147</t>
    <phoneticPr fontId="5" type="noConversion"/>
  </si>
  <si>
    <t>陳鼎升/970573</t>
    <phoneticPr fontId="5" type="noConversion"/>
  </si>
  <si>
    <t>女青50公尺自由式</t>
    <phoneticPr fontId="4" type="noConversion"/>
  </si>
  <si>
    <t>19:18~19:20</t>
    <phoneticPr fontId="5" type="noConversion"/>
  </si>
  <si>
    <t>19:21~19:23</t>
    <phoneticPr fontId="5" type="noConversion"/>
  </si>
  <si>
    <t>女壯50公尺自由式</t>
    <phoneticPr fontId="4" type="noConversion"/>
  </si>
  <si>
    <t>男青50公尺自由式</t>
    <phoneticPr fontId="4" type="noConversion"/>
  </si>
  <si>
    <t>男壯50公尺自由式</t>
  </si>
  <si>
    <t>女青200公尺蛙式</t>
    <phoneticPr fontId="4" type="noConversion"/>
  </si>
  <si>
    <t>男壯200公尺蛙式</t>
  </si>
  <si>
    <t>男青200公尺自由式</t>
  </si>
  <si>
    <t>男壯200公尺自由式</t>
  </si>
  <si>
    <t xml:space="preserve">大隊接力
</t>
    <phoneticPr fontId="4" type="noConversion"/>
  </si>
  <si>
    <t>即時戰況</t>
    <phoneticPr fontId="4" type="noConversion"/>
  </si>
  <si>
    <t>名次</t>
    <phoneticPr fontId="5" type="noConversion"/>
  </si>
  <si>
    <t>王品宸/532231</t>
    <phoneticPr fontId="5" type="noConversion"/>
  </si>
  <si>
    <t>戰斧隊</t>
    <phoneticPr fontId="4" type="noConversion"/>
  </si>
  <si>
    <t>三八隊</t>
    <phoneticPr fontId="4" type="noConversion"/>
  </si>
  <si>
    <t>進擊巨人隊</t>
    <phoneticPr fontId="4" type="noConversion"/>
  </si>
  <si>
    <t>瘋狂騎士隊</t>
    <phoneticPr fontId="4" type="noConversion"/>
  </si>
  <si>
    <t>陳佩君/920580</t>
    <phoneticPr fontId="4" type="noConversion"/>
  </si>
  <si>
    <t>蔡國手/A10139</t>
    <phoneticPr fontId="4" type="noConversion"/>
  </si>
  <si>
    <t>洪國智/ 533144</t>
    <phoneticPr fontId="5" type="noConversion"/>
  </si>
  <si>
    <t>李夏新/920337</t>
    <phoneticPr fontId="5" type="noConversion"/>
  </si>
  <si>
    <t>蔡華龍/A40398</t>
    <phoneticPr fontId="5" type="noConversion"/>
  </si>
  <si>
    <t>王俊傑/A30023</t>
    <phoneticPr fontId="4" type="noConversion"/>
  </si>
  <si>
    <t>張中一/A30088</t>
    <phoneticPr fontId="5" type="noConversion"/>
  </si>
  <si>
    <t>邱煥科/950267</t>
    <phoneticPr fontId="5" type="noConversion"/>
  </si>
  <si>
    <t>17:33~17:45</t>
    <phoneticPr fontId="5" type="noConversion"/>
  </si>
  <si>
    <t>17:51~17:55</t>
    <phoneticPr fontId="5" type="noConversion"/>
  </si>
  <si>
    <t>劉思榆/A40420</t>
    <phoneticPr fontId="5" type="noConversion"/>
  </si>
  <si>
    <t>楊明達/960538</t>
    <phoneticPr fontId="5" type="noConversion"/>
  </si>
  <si>
    <t>林子安/A20399</t>
    <phoneticPr fontId="4" type="noConversion"/>
  </si>
  <si>
    <t>郭惠菁/930345</t>
    <phoneticPr fontId="5" type="noConversion"/>
  </si>
  <si>
    <t>女子/男子100公尺仰式</t>
    <phoneticPr fontId="4" type="noConversion"/>
  </si>
  <si>
    <t>17:46~17:50</t>
    <phoneticPr fontId="5" type="noConversion"/>
  </si>
  <si>
    <t>17:56~18:00</t>
    <phoneticPr fontId="5" type="noConversion"/>
  </si>
  <si>
    <t>18:01~18:05</t>
    <phoneticPr fontId="5" type="noConversion"/>
  </si>
  <si>
    <t>吳信夫/A50117</t>
    <phoneticPr fontId="5" type="noConversion"/>
  </si>
  <si>
    <t>吳秉勳/950069</t>
    <phoneticPr fontId="5" type="noConversion"/>
  </si>
  <si>
    <t>邱逸夫/A00480</t>
    <phoneticPr fontId="5" type="noConversion"/>
  </si>
  <si>
    <t>18:06~18:10</t>
    <phoneticPr fontId="5" type="noConversion"/>
  </si>
  <si>
    <t>王基振/860303</t>
    <phoneticPr fontId="5" type="noConversion"/>
  </si>
  <si>
    <t>宋庭禎/A10210</t>
    <phoneticPr fontId="5" type="noConversion"/>
  </si>
  <si>
    <t>吳明學/950501</t>
    <phoneticPr fontId="5" type="noConversion"/>
  </si>
  <si>
    <t>彭家洪/890161</t>
    <phoneticPr fontId="5" type="noConversion"/>
  </si>
  <si>
    <t>18:11~18:15</t>
    <phoneticPr fontId="5" type="noConversion"/>
  </si>
  <si>
    <t>3/4</t>
    <phoneticPr fontId="4" type="noConversion"/>
  </si>
  <si>
    <t>5/6</t>
    <phoneticPr fontId="4" type="noConversion"/>
  </si>
  <si>
    <t>18:16~18:20</t>
    <phoneticPr fontId="5" type="noConversion"/>
  </si>
  <si>
    <t>黃郁茹/A30123</t>
    <phoneticPr fontId="5" type="noConversion"/>
  </si>
  <si>
    <t>李子芳/870636</t>
    <phoneticPr fontId="5" type="noConversion"/>
  </si>
  <si>
    <t>18:21~18:25</t>
    <phoneticPr fontId="5" type="noConversion"/>
  </si>
  <si>
    <t>18:26~18:30</t>
    <phoneticPr fontId="5" type="noConversion"/>
  </si>
  <si>
    <t>吳藺剛/A40504</t>
    <phoneticPr fontId="5" type="noConversion"/>
  </si>
  <si>
    <t>洪國智/ 533144</t>
    <phoneticPr fontId="5" type="noConversion"/>
  </si>
  <si>
    <t>蔡易行/900685</t>
    <phoneticPr fontId="5" type="noConversion"/>
  </si>
  <si>
    <t>男青/壯100公尺自由式</t>
    <phoneticPr fontId="4" type="noConversion"/>
  </si>
  <si>
    <t>10/11</t>
    <phoneticPr fontId="4" type="noConversion"/>
  </si>
  <si>
    <t>男女混200公尺接力</t>
    <phoneticPr fontId="4" type="noConversion"/>
  </si>
  <si>
    <t>18:31~18:35</t>
    <phoneticPr fontId="5" type="noConversion"/>
  </si>
  <si>
    <t>18:36~18:40</t>
    <phoneticPr fontId="5" type="noConversion"/>
  </si>
  <si>
    <t>18:45~18:47</t>
    <phoneticPr fontId="5" type="noConversion"/>
  </si>
  <si>
    <t>女子/男青/男壯50公尺仰式</t>
    <phoneticPr fontId="4" type="noConversion"/>
  </si>
  <si>
    <t>李子芳/870636</t>
    <phoneticPr fontId="5" type="noConversion"/>
  </si>
  <si>
    <t>邱煥科/950267</t>
    <phoneticPr fontId="5" type="noConversion"/>
  </si>
  <si>
    <t>邱煥科/950267</t>
    <phoneticPr fontId="5" type="noConversion"/>
  </si>
  <si>
    <t>林子安/A20399</t>
    <phoneticPr fontId="4" type="noConversion"/>
  </si>
  <si>
    <t>14/15/16</t>
    <phoneticPr fontId="4" type="noConversion"/>
  </si>
  <si>
    <t>18:48~18:50</t>
    <phoneticPr fontId="5" type="noConversion"/>
  </si>
  <si>
    <t>廖心瑜/840294</t>
    <phoneticPr fontId="5" type="noConversion"/>
  </si>
  <si>
    <t>余秀琴/810185</t>
    <phoneticPr fontId="5" type="noConversion"/>
  </si>
  <si>
    <t>易幼明/771086</t>
    <phoneticPr fontId="4" type="noConversion"/>
  </si>
  <si>
    <t>邱逸夫/A00480</t>
    <phoneticPr fontId="5" type="noConversion"/>
  </si>
  <si>
    <t>粘為博/A40587</t>
    <phoneticPr fontId="5" type="noConversion"/>
  </si>
  <si>
    <t>陳義軒/990339</t>
    <phoneticPr fontId="5" type="noConversion"/>
  </si>
  <si>
    <t>王湘雄/453268</t>
    <phoneticPr fontId="5" type="noConversion"/>
  </si>
  <si>
    <t>宋庭禎/A10210</t>
    <phoneticPr fontId="5" type="noConversion"/>
  </si>
  <si>
    <t>陳文江/A30014</t>
    <phoneticPr fontId="5" type="noConversion"/>
  </si>
  <si>
    <t>21/22</t>
    <phoneticPr fontId="4" type="noConversion"/>
  </si>
  <si>
    <t>陳義軒/990339</t>
    <phoneticPr fontId="5" type="noConversion"/>
  </si>
  <si>
    <t>廖心瑜/840294</t>
    <phoneticPr fontId="5" type="noConversion"/>
  </si>
  <si>
    <t>李子芳/870636</t>
    <phoneticPr fontId="5" type="noConversion"/>
  </si>
  <si>
    <t>徐愛蒂/A10469</t>
    <phoneticPr fontId="5" type="noConversion"/>
  </si>
  <si>
    <t>王佳雯/840319</t>
    <phoneticPr fontId="5" type="noConversion"/>
  </si>
  <si>
    <t>楊明達/960538</t>
    <phoneticPr fontId="5" type="noConversion"/>
  </si>
  <si>
    <t>張至善/A40475</t>
    <phoneticPr fontId="5" type="noConversion"/>
  </si>
  <si>
    <t>曾俊傑/A10306</t>
    <phoneticPr fontId="5" type="noConversion"/>
  </si>
  <si>
    <t>陳漢強/890056</t>
    <phoneticPr fontId="5" type="noConversion"/>
  </si>
  <si>
    <t>郭惠菁/930345</t>
    <phoneticPr fontId="5" type="noConversion"/>
  </si>
  <si>
    <t>蔡華龍/531357</t>
    <phoneticPr fontId="5" type="noConversion"/>
  </si>
  <si>
    <t>吳秉勳/950069</t>
    <phoneticPr fontId="5" type="noConversion"/>
  </si>
  <si>
    <t>賴志維/A40056</t>
    <phoneticPr fontId="5" type="noConversion"/>
  </si>
  <si>
    <t>白家豪/A40433</t>
    <phoneticPr fontId="5" type="noConversion"/>
  </si>
  <si>
    <t>彭家洪/890161</t>
    <phoneticPr fontId="5" type="noConversion"/>
  </si>
  <si>
    <t>王品宸/532231</t>
    <phoneticPr fontId="5" type="noConversion"/>
  </si>
  <si>
    <t>蔡易行/900685</t>
    <phoneticPr fontId="5" type="noConversion"/>
  </si>
  <si>
    <t>張中一/A30088</t>
    <phoneticPr fontId="5" type="noConversion"/>
  </si>
  <si>
    <t>陳建豪/A50355</t>
    <phoneticPr fontId="4" type="noConversion"/>
  </si>
  <si>
    <t>郭志忠/900612</t>
    <phoneticPr fontId="4" type="noConversion"/>
  </si>
  <si>
    <t>李明/A60005</t>
    <phoneticPr fontId="5" type="noConversion"/>
  </si>
  <si>
    <t>尤雲亞/523459</t>
    <phoneticPr fontId="5" type="noConversion"/>
  </si>
  <si>
    <t>梁珮蓉/A50390</t>
    <phoneticPr fontId="5" type="noConversion"/>
  </si>
  <si>
    <t>蔡繪琦/A50441</t>
    <phoneticPr fontId="5" type="noConversion"/>
  </si>
  <si>
    <t>許文馨/A60148</t>
    <phoneticPr fontId="5" type="noConversion"/>
  </si>
  <si>
    <t>唐昌宇/A50553</t>
    <phoneticPr fontId="5" type="noConversion"/>
  </si>
  <si>
    <t>葉淑婷/527597</t>
    <phoneticPr fontId="5" type="noConversion"/>
  </si>
  <si>
    <t>劉凱誠/A50522</t>
    <phoneticPr fontId="5" type="noConversion"/>
  </si>
  <si>
    <t>羅佩怡/A40021</t>
    <phoneticPr fontId="5" type="noConversion"/>
  </si>
  <si>
    <t>黃俊堂/A50451</t>
    <phoneticPr fontId="5" type="noConversion"/>
  </si>
  <si>
    <t>黃咨翰/A50619</t>
    <phoneticPr fontId="5" type="noConversion"/>
  </si>
  <si>
    <t>呂佳蓓/530934</t>
    <phoneticPr fontId="5" type="noConversion"/>
  </si>
  <si>
    <t>劉凱誠/A50522</t>
    <phoneticPr fontId="5" type="noConversion"/>
  </si>
  <si>
    <t>賴建良/A00367</t>
    <phoneticPr fontId="5" type="noConversion"/>
  </si>
  <si>
    <t>呂佳蓓/530934</t>
    <phoneticPr fontId="5" type="noConversion"/>
  </si>
  <si>
    <t>黃泓文/533388</t>
    <phoneticPr fontId="5" type="noConversion"/>
  </si>
  <si>
    <t>張雍昌/A10030</t>
    <phoneticPr fontId="5" type="noConversion"/>
  </si>
  <si>
    <t>簡珮珊/50187</t>
    <phoneticPr fontId="5" type="noConversion"/>
  </si>
  <si>
    <t>徐家昌/A20215</t>
    <phoneticPr fontId="5" type="noConversion"/>
  </si>
  <si>
    <t>陳文怡/533853</t>
    <phoneticPr fontId="5" type="noConversion"/>
  </si>
  <si>
    <t>李其翰/A50620</t>
    <phoneticPr fontId="5" type="noConversion"/>
  </si>
  <si>
    <t>梁庭榕/A50287</t>
    <phoneticPr fontId="5" type="noConversion"/>
  </si>
  <si>
    <t>張瀞文/454160</t>
    <phoneticPr fontId="5" type="noConversion"/>
  </si>
  <si>
    <t>彭亦甄/454288</t>
    <phoneticPr fontId="5" type="noConversion"/>
  </si>
  <si>
    <t>徐家昌/A20215</t>
    <phoneticPr fontId="5" type="noConversion"/>
  </si>
  <si>
    <t>彭亦甄/454288</t>
    <phoneticPr fontId="5" type="noConversion"/>
  </si>
  <si>
    <t>黃幸誠/A40157</t>
    <phoneticPr fontId="5" type="noConversion"/>
  </si>
  <si>
    <t>19:03~19:05</t>
    <phoneticPr fontId="5" type="noConversion"/>
  </si>
  <si>
    <t>19:12~19:14</t>
    <phoneticPr fontId="5" type="noConversion"/>
  </si>
  <si>
    <t>19:27~19:29</t>
    <phoneticPr fontId="5" type="noConversion"/>
  </si>
  <si>
    <t>19:30~19:36</t>
    <phoneticPr fontId="5" type="noConversion"/>
  </si>
  <si>
    <t>19:37~19:43</t>
    <phoneticPr fontId="5" type="noConversion"/>
  </si>
  <si>
    <t>19:44~19:50</t>
    <phoneticPr fontId="5" type="noConversion"/>
  </si>
  <si>
    <t>19:51~19:57</t>
    <phoneticPr fontId="5" type="noConversion"/>
  </si>
  <si>
    <t>19:58~20:04</t>
    <phoneticPr fontId="5" type="noConversion"/>
  </si>
  <si>
    <t>20:09~20:15</t>
    <phoneticPr fontId="5" type="noConversion"/>
  </si>
  <si>
    <t>20:16~20:22</t>
    <phoneticPr fontId="5" type="noConversion"/>
  </si>
  <si>
    <t>20:23~20:33</t>
    <phoneticPr fontId="5" type="noConversion"/>
  </si>
  <si>
    <t>R. Gdowski/454528</t>
    <phoneticPr fontId="5" type="noConversion"/>
  </si>
  <si>
    <t>R. Gdowski/454528</t>
    <phoneticPr fontId="5" type="noConversion"/>
  </si>
  <si>
    <t>P. Chondro/A60184</t>
    <phoneticPr fontId="5" type="noConversion"/>
  </si>
  <si>
    <t>男青/壯50公尺蝶式</t>
    <phoneticPr fontId="4" type="noConversion"/>
  </si>
  <si>
    <t>積分</t>
    <phoneticPr fontId="4" type="noConversion"/>
  </si>
  <si>
    <t>區隊額外加扣分</t>
    <phoneticPr fontId="4" type="noConversion"/>
  </si>
  <si>
    <t>區隊積分</t>
    <phoneticPr fontId="4" type="noConversion"/>
  </si>
  <si>
    <t>名次</t>
    <phoneticPr fontId="5" type="noConversion"/>
  </si>
  <si>
    <t>區隊總積分</t>
    <phoneticPr fontId="5" type="noConversion"/>
  </si>
  <si>
    <t>區隊積分</t>
    <phoneticPr fontId="4" type="noConversion"/>
  </si>
  <si>
    <t>積分小計</t>
    <phoneticPr fontId="5" type="noConversion"/>
  </si>
  <si>
    <t>大隊接力</t>
    <phoneticPr fontId="4" type="noConversion"/>
  </si>
  <si>
    <t>男子組200公尺接力</t>
    <phoneticPr fontId="4" type="noConversion"/>
  </si>
  <si>
    <t xml:space="preserve">主管200公尺接力賽 </t>
    <phoneticPr fontId="4" type="noConversion"/>
  </si>
  <si>
    <t>男青200公尺蛙式</t>
    <phoneticPr fontId="4" type="noConversion"/>
  </si>
  <si>
    <t>女青200公尺蛙式</t>
    <phoneticPr fontId="4" type="noConversion"/>
  </si>
  <si>
    <t>男壯50公尺自由式</t>
    <phoneticPr fontId="4" type="noConversion"/>
  </si>
  <si>
    <t>男青50公尺自由式</t>
    <phoneticPr fontId="4" type="noConversion"/>
  </si>
  <si>
    <t>女壯50公尺自由式</t>
    <phoneticPr fontId="4" type="noConversion"/>
  </si>
  <si>
    <t>女青50公尺自由式</t>
    <phoneticPr fontId="4" type="noConversion"/>
  </si>
  <si>
    <t>男壯50公尺蛙式</t>
    <phoneticPr fontId="4" type="noConversion"/>
  </si>
  <si>
    <t>男青50公尺蛙式</t>
    <phoneticPr fontId="4" type="noConversion"/>
  </si>
  <si>
    <t>女壯50公尺蛙式</t>
    <phoneticPr fontId="4" type="noConversion"/>
  </si>
  <si>
    <t>女青50公尺蛙式</t>
    <phoneticPr fontId="4" type="noConversion"/>
  </si>
  <si>
    <t>積分小計</t>
    <phoneticPr fontId="5" type="noConversion"/>
  </si>
  <si>
    <t>女子100公尺自由式</t>
    <phoneticPr fontId="4" type="noConversion"/>
  </si>
  <si>
    <t>男壯100公尺蛙式</t>
    <phoneticPr fontId="4" type="noConversion"/>
  </si>
  <si>
    <t>男青100公尺蛙式</t>
    <phoneticPr fontId="4" type="noConversion"/>
  </si>
  <si>
    <t>女青/壯100公尺蛙式</t>
    <phoneticPr fontId="4" type="noConversion"/>
  </si>
  <si>
    <t>男子400公尺自由式</t>
    <phoneticPr fontId="4" type="noConversion"/>
  </si>
  <si>
    <t>男子800公尺自由式</t>
    <phoneticPr fontId="4" type="noConversion"/>
  </si>
  <si>
    <t>時間</t>
    <phoneticPr fontId="5" type="noConversion"/>
  </si>
  <si>
    <t>比  賽  項  目</t>
    <phoneticPr fontId="5" type="noConversion"/>
  </si>
  <si>
    <t>次序</t>
    <phoneticPr fontId="5" type="noConversion"/>
  </si>
  <si>
    <t>KAXE 戰斧隊</t>
    <phoneticPr fontId="4" type="noConversion"/>
  </si>
  <si>
    <t>SUNBT 三八隊</t>
    <phoneticPr fontId="4" type="noConversion"/>
  </si>
  <si>
    <t>巨資RF 進擊巨人隊</t>
    <phoneticPr fontId="4" type="noConversion"/>
  </si>
  <si>
    <t>MDVC 瘋狂騎士隊</t>
    <phoneticPr fontId="4" type="noConversion"/>
  </si>
  <si>
    <t>7</t>
    <phoneticPr fontId="4" type="noConversion"/>
  </si>
  <si>
    <t>8</t>
    <phoneticPr fontId="4" type="noConversion"/>
  </si>
  <si>
    <t>9</t>
    <phoneticPr fontId="4" type="noConversion"/>
  </si>
  <si>
    <t>女子/男子100公尺仰式</t>
    <phoneticPr fontId="4" type="noConversion"/>
  </si>
  <si>
    <t>12</t>
    <phoneticPr fontId="4" type="noConversion"/>
  </si>
  <si>
    <t>13</t>
    <phoneticPr fontId="4" type="noConversion"/>
  </si>
  <si>
    <t>SUNBT 三八隊</t>
    <phoneticPr fontId="4" type="noConversion"/>
  </si>
  <si>
    <t>SUNBT 三八隊</t>
    <phoneticPr fontId="4" type="noConversion"/>
  </si>
  <si>
    <t>巨資RF 進擊巨人隊</t>
    <phoneticPr fontId="4" type="noConversion"/>
  </si>
  <si>
    <t>MDVC 瘋狂騎士隊</t>
    <phoneticPr fontId="4" type="noConversion"/>
  </si>
  <si>
    <t>區隊額外加扣分</t>
    <phoneticPr fontId="4" type="noConversion"/>
  </si>
  <si>
    <t>34</t>
    <phoneticPr fontId="4" type="noConversion"/>
  </si>
  <si>
    <t>14/15/16</t>
    <phoneticPr fontId="4" type="noConversion"/>
  </si>
  <si>
    <t>17</t>
    <phoneticPr fontId="4" type="noConversion"/>
  </si>
  <si>
    <t>18</t>
    <phoneticPr fontId="4" type="noConversion"/>
  </si>
  <si>
    <t>22</t>
    <phoneticPr fontId="4" type="noConversion"/>
  </si>
  <si>
    <t>33</t>
    <phoneticPr fontId="4" type="noConversion"/>
  </si>
  <si>
    <t>32</t>
    <phoneticPr fontId="4" type="noConversion"/>
  </si>
  <si>
    <t>31</t>
    <phoneticPr fontId="4" type="noConversion"/>
  </si>
  <si>
    <t>30</t>
    <phoneticPr fontId="4" type="noConversion"/>
  </si>
  <si>
    <t>29</t>
    <phoneticPr fontId="4" type="noConversion"/>
  </si>
  <si>
    <t>28</t>
    <phoneticPr fontId="4" type="noConversion"/>
  </si>
  <si>
    <t>27</t>
    <phoneticPr fontId="4" type="noConversion"/>
  </si>
  <si>
    <t>26</t>
    <phoneticPr fontId="4" type="noConversion"/>
  </si>
  <si>
    <t>25</t>
    <phoneticPr fontId="4" type="noConversion"/>
  </si>
  <si>
    <t>23</t>
    <phoneticPr fontId="4" type="noConversion"/>
  </si>
  <si>
    <t>24</t>
    <phoneticPr fontId="4" type="noConversion"/>
  </si>
  <si>
    <t>積分小計</t>
    <phoneticPr fontId="4" type="noConversion"/>
  </si>
  <si>
    <t>19</t>
    <phoneticPr fontId="4" type="noConversion"/>
  </si>
  <si>
    <t>中場休息5分鐘</t>
    <phoneticPr fontId="5" type="noConversion"/>
  </si>
  <si>
    <t>大隊接力</t>
    <phoneticPr fontId="4" type="noConversion"/>
  </si>
  <si>
    <t>主管200公尺接力賽</t>
    <phoneticPr fontId="4" type="noConversion"/>
  </si>
  <si>
    <t>次序</t>
    <phoneticPr fontId="5" type="noConversion"/>
  </si>
  <si>
    <t>第一水道</t>
    <phoneticPr fontId="5" type="noConversion"/>
  </si>
  <si>
    <t>第二水道</t>
    <phoneticPr fontId="5" type="noConversion"/>
  </si>
  <si>
    <t>第三水道</t>
    <phoneticPr fontId="5" type="noConversion"/>
  </si>
  <si>
    <t>第四水道</t>
    <phoneticPr fontId="5" type="noConversion"/>
  </si>
  <si>
    <t>第五水道</t>
    <phoneticPr fontId="5" type="noConversion"/>
  </si>
  <si>
    <t>第六水道</t>
    <phoneticPr fontId="5" type="noConversion"/>
  </si>
  <si>
    <t>男子800公尺自由式(限19分鐘)</t>
    <phoneticPr fontId="4" type="noConversion"/>
  </si>
  <si>
    <t>17:00~17:19</t>
    <phoneticPr fontId="5" type="noConversion"/>
  </si>
  <si>
    <t>邱煥科/950267</t>
    <phoneticPr fontId="5" type="noConversion"/>
  </si>
  <si>
    <t>成績</t>
    <phoneticPr fontId="4" type="noConversion"/>
  </si>
  <si>
    <t>名次</t>
    <phoneticPr fontId="4" type="noConversion"/>
  </si>
  <si>
    <t>積分</t>
    <phoneticPr fontId="4" type="noConversion"/>
  </si>
  <si>
    <t>男子400公尺自由式(限12分鐘)</t>
    <phoneticPr fontId="4" type="noConversion"/>
  </si>
  <si>
    <t>17:20~17:32</t>
    <phoneticPr fontId="5" type="noConversion"/>
  </si>
  <si>
    <t>劉凱誠/A50522</t>
    <phoneticPr fontId="5" type="noConversion"/>
  </si>
  <si>
    <t>成績</t>
    <phoneticPr fontId="4" type="noConversion"/>
  </si>
  <si>
    <t>名次</t>
    <phoneticPr fontId="4" type="noConversion"/>
  </si>
  <si>
    <t>積分</t>
    <phoneticPr fontId="4" type="noConversion"/>
  </si>
  <si>
    <t>17:33~17:45</t>
    <phoneticPr fontId="5" type="noConversion"/>
  </si>
  <si>
    <t>王俊傑/A30023</t>
    <phoneticPr fontId="4" type="noConversion"/>
  </si>
  <si>
    <t>王品宸/532231</t>
    <phoneticPr fontId="5" type="noConversion"/>
  </si>
  <si>
    <t>陳偉吉/990317</t>
    <phoneticPr fontId="5" type="noConversion"/>
  </si>
  <si>
    <t>成績</t>
    <phoneticPr fontId="4" type="noConversion"/>
  </si>
  <si>
    <t>名次</t>
    <phoneticPr fontId="4" type="noConversion"/>
  </si>
  <si>
    <t>積分</t>
    <phoneticPr fontId="4" type="noConversion"/>
  </si>
  <si>
    <t>3/4</t>
    <phoneticPr fontId="4" type="noConversion"/>
  </si>
  <si>
    <t>女子/男子100公尺仰式</t>
    <phoneticPr fontId="4" type="noConversion"/>
  </si>
  <si>
    <t>17:46~17:50</t>
    <phoneticPr fontId="5" type="noConversion"/>
  </si>
  <si>
    <t>羅佩怡/A40021</t>
    <phoneticPr fontId="5" type="noConversion"/>
  </si>
  <si>
    <t>劉思榆/A40420</t>
    <phoneticPr fontId="5" type="noConversion"/>
  </si>
  <si>
    <t>林子安/A20399</t>
    <phoneticPr fontId="4" type="noConversion"/>
  </si>
  <si>
    <t>李明/A60005</t>
    <phoneticPr fontId="5" type="noConversion"/>
  </si>
  <si>
    <t>楊明達/960538</t>
    <phoneticPr fontId="5" type="noConversion"/>
  </si>
  <si>
    <t>5/6</t>
    <phoneticPr fontId="4" type="noConversion"/>
  </si>
  <si>
    <t>女青/壯100公尺蛙式</t>
    <phoneticPr fontId="4" type="noConversion"/>
  </si>
  <si>
    <t>17:51~17:55</t>
    <phoneticPr fontId="5" type="noConversion"/>
  </si>
  <si>
    <t>郭惠菁/930345</t>
    <phoneticPr fontId="5" type="noConversion"/>
  </si>
  <si>
    <t>黃郁茹/A30123</t>
    <phoneticPr fontId="5" type="noConversion"/>
  </si>
  <si>
    <t>池冠儀/A40297</t>
    <phoneticPr fontId="4" type="noConversion"/>
  </si>
  <si>
    <t>廖心瑜/840294</t>
    <phoneticPr fontId="5" type="noConversion"/>
  </si>
  <si>
    <t>易幼明/771086</t>
    <phoneticPr fontId="4" type="noConversion"/>
  </si>
  <si>
    <t>尤雲亞/523459</t>
    <phoneticPr fontId="5" type="noConversion"/>
  </si>
  <si>
    <t>男青100公尺蛙式</t>
    <phoneticPr fontId="4" type="noConversion"/>
  </si>
  <si>
    <t>17:56~18:00</t>
    <phoneticPr fontId="5" type="noConversion"/>
  </si>
  <si>
    <t>徐家昌/A20215</t>
    <phoneticPr fontId="5" type="noConversion"/>
  </si>
  <si>
    <t>黃俊堂/A50451</t>
    <phoneticPr fontId="5" type="noConversion"/>
  </si>
  <si>
    <t>吳秉勳/950069</t>
    <phoneticPr fontId="5" type="noConversion"/>
  </si>
  <si>
    <t>黃咨翰/A50619</t>
    <phoneticPr fontId="5" type="noConversion"/>
  </si>
  <si>
    <t>18:01~18:05</t>
    <phoneticPr fontId="5" type="noConversion"/>
  </si>
  <si>
    <t>陳建豪/A50355</t>
    <phoneticPr fontId="4" type="noConversion"/>
  </si>
  <si>
    <t>邱逸夫/A00480</t>
    <phoneticPr fontId="5" type="noConversion"/>
  </si>
  <si>
    <t>吳信夫/A50117</t>
    <phoneticPr fontId="5" type="noConversion"/>
  </si>
  <si>
    <t>R. Gdowski/454528</t>
    <phoneticPr fontId="5" type="noConversion"/>
  </si>
  <si>
    <t>男壯100公尺蛙式</t>
    <phoneticPr fontId="4" type="noConversion"/>
  </si>
  <si>
    <t>18:06~18:10</t>
    <phoneticPr fontId="5" type="noConversion"/>
  </si>
  <si>
    <t>吳明學/950501</t>
    <phoneticPr fontId="5" type="noConversion"/>
  </si>
  <si>
    <t>彭家洪/890161</t>
    <phoneticPr fontId="5" type="noConversion"/>
  </si>
  <si>
    <t>宋庭禎/A10210</t>
    <phoneticPr fontId="5" type="noConversion"/>
  </si>
  <si>
    <t>陳紀綱/A10240</t>
    <phoneticPr fontId="5" type="noConversion"/>
  </si>
  <si>
    <t>王基振/860303</t>
    <phoneticPr fontId="5" type="noConversion"/>
  </si>
  <si>
    <t>女子100公尺自由式</t>
    <phoneticPr fontId="4" type="noConversion"/>
  </si>
  <si>
    <t>18:11~18:15</t>
    <phoneticPr fontId="5" type="noConversion"/>
  </si>
  <si>
    <t>陳文怡/533853</t>
    <phoneticPr fontId="5" type="noConversion"/>
  </si>
  <si>
    <t>呂佳蓓/530934</t>
    <phoneticPr fontId="5" type="noConversion"/>
  </si>
  <si>
    <t>梁珮蓉/A50390</t>
    <phoneticPr fontId="5" type="noConversion"/>
  </si>
  <si>
    <t>18:16~18:20</t>
    <phoneticPr fontId="5" type="noConversion"/>
  </si>
  <si>
    <t>蔡繪琦/A50441</t>
    <phoneticPr fontId="5" type="noConversion"/>
  </si>
  <si>
    <t>許文馨/A60148</t>
    <phoneticPr fontId="5" type="noConversion"/>
  </si>
  <si>
    <t>李子芳/870636</t>
    <phoneticPr fontId="5" type="noConversion"/>
  </si>
  <si>
    <t>10/11</t>
    <phoneticPr fontId="4" type="noConversion"/>
  </si>
  <si>
    <t>男青/壯100公尺自由式</t>
    <phoneticPr fontId="4" type="noConversion"/>
  </si>
  <si>
    <t>18:21~18:25</t>
    <phoneticPr fontId="5" type="noConversion"/>
  </si>
  <si>
    <t>李其翰/A50620</t>
    <phoneticPr fontId="5" type="noConversion"/>
  </si>
  <si>
    <t>張語軒/A30007</t>
    <phoneticPr fontId="5" type="noConversion"/>
  </si>
  <si>
    <t>劉凱誠/A50522</t>
    <phoneticPr fontId="5" type="noConversion"/>
  </si>
  <si>
    <t>吳藺剛/A40504</t>
    <phoneticPr fontId="5" type="noConversion"/>
  </si>
  <si>
    <t>洪國智/ 533144</t>
    <phoneticPr fontId="5" type="noConversion"/>
  </si>
  <si>
    <t>18:26~18:30</t>
    <phoneticPr fontId="5" type="noConversion"/>
  </si>
  <si>
    <t>劉耕孜/A30202</t>
    <phoneticPr fontId="5" type="noConversion"/>
  </si>
  <si>
    <t>陳世杰/910720</t>
    <phoneticPr fontId="5" type="noConversion"/>
  </si>
  <si>
    <t>蔡易行/900685</t>
    <phoneticPr fontId="5" type="noConversion"/>
  </si>
  <si>
    <t>李家昕/990147</t>
    <phoneticPr fontId="5" type="noConversion"/>
  </si>
  <si>
    <t>梁庭榕/A50287</t>
    <phoneticPr fontId="5" type="noConversion"/>
  </si>
  <si>
    <t>男女混200公尺接力</t>
    <phoneticPr fontId="4" type="noConversion"/>
  </si>
  <si>
    <t>18:31~18:35</t>
    <phoneticPr fontId="5" type="noConversion"/>
  </si>
  <si>
    <t>戰斧隊</t>
    <phoneticPr fontId="4" type="noConversion"/>
  </si>
  <si>
    <t>三八隊</t>
    <phoneticPr fontId="4" type="noConversion"/>
  </si>
  <si>
    <t>進擊巨人隊</t>
    <phoneticPr fontId="4" type="noConversion"/>
  </si>
  <si>
    <t>瘋狂騎士隊</t>
    <phoneticPr fontId="4" type="noConversion"/>
  </si>
  <si>
    <t>18:36~18:40</t>
    <phoneticPr fontId="5" type="noConversion"/>
  </si>
  <si>
    <t>中場休息5分鐘</t>
    <phoneticPr fontId="5" type="noConversion"/>
  </si>
  <si>
    <t>14/15/16</t>
    <phoneticPr fontId="4" type="noConversion"/>
  </si>
  <si>
    <t>女子/男青/男壯50公尺仰式</t>
    <phoneticPr fontId="4" type="noConversion"/>
  </si>
  <si>
    <t>18:45~18:47</t>
    <phoneticPr fontId="5" type="noConversion"/>
  </si>
  <si>
    <t>張瀞文/454160</t>
    <phoneticPr fontId="5" type="noConversion"/>
  </si>
  <si>
    <t>彭亦甄/454288</t>
    <phoneticPr fontId="5" type="noConversion"/>
  </si>
  <si>
    <t>18:48~18:50</t>
    <phoneticPr fontId="5" type="noConversion"/>
  </si>
  <si>
    <t>王俊傑/A30023</t>
    <phoneticPr fontId="4" type="noConversion"/>
  </si>
  <si>
    <t>陳漢強/890056</t>
    <phoneticPr fontId="5" type="noConversion"/>
  </si>
  <si>
    <t>女青50公尺蛙式</t>
    <phoneticPr fontId="4" type="noConversion"/>
  </si>
  <si>
    <t>18:51~18:53</t>
    <phoneticPr fontId="5" type="noConversion"/>
  </si>
  <si>
    <t>林茗歆/A50136</t>
    <phoneticPr fontId="5" type="noConversion"/>
  </si>
  <si>
    <t>女壯50公尺蛙式</t>
    <phoneticPr fontId="4" type="noConversion"/>
  </si>
  <si>
    <t>18:54~18:56</t>
    <phoneticPr fontId="5" type="noConversion"/>
  </si>
  <si>
    <t>余秀琴/810185</t>
    <phoneticPr fontId="5" type="noConversion"/>
  </si>
  <si>
    <t>袁敦儀/920329</t>
    <phoneticPr fontId="5" type="noConversion"/>
  </si>
  <si>
    <t>男青50公尺蛙式</t>
    <phoneticPr fontId="4" type="noConversion"/>
  </si>
  <si>
    <t>18:57~18:59</t>
    <phoneticPr fontId="5" type="noConversion"/>
  </si>
  <si>
    <t>吳事修/950513</t>
    <phoneticPr fontId="4" type="noConversion"/>
  </si>
  <si>
    <t>粘為博/A40587</t>
    <phoneticPr fontId="5" type="noConversion"/>
  </si>
  <si>
    <t>唐昌宇/A50553</t>
    <phoneticPr fontId="5" type="noConversion"/>
  </si>
  <si>
    <t>19:00~19:02</t>
    <phoneticPr fontId="5" type="noConversion"/>
  </si>
  <si>
    <t>賴志維/A40056</t>
    <phoneticPr fontId="5" type="noConversion"/>
  </si>
  <si>
    <t>陳義軒/990339</t>
    <phoneticPr fontId="5" type="noConversion"/>
  </si>
  <si>
    <t>男壯50公尺蛙式</t>
    <phoneticPr fontId="4" type="noConversion"/>
  </si>
  <si>
    <t>19:03~19:05</t>
    <phoneticPr fontId="5" type="noConversion"/>
  </si>
  <si>
    <t>郭志忠/900612</t>
    <phoneticPr fontId="4" type="noConversion"/>
  </si>
  <si>
    <t>賴建良/A00367</t>
    <phoneticPr fontId="5" type="noConversion"/>
  </si>
  <si>
    <t>陳文江/A30014</t>
    <phoneticPr fontId="5" type="noConversion"/>
  </si>
  <si>
    <t>王湘雄/453268</t>
    <phoneticPr fontId="5" type="noConversion"/>
  </si>
  <si>
    <t>21/22</t>
    <phoneticPr fontId="4" type="noConversion"/>
  </si>
  <si>
    <t>男青/壯50公尺蝶式</t>
    <phoneticPr fontId="4" type="noConversion"/>
  </si>
  <si>
    <t>19:06~19:08</t>
    <phoneticPr fontId="5" type="noConversion"/>
  </si>
  <si>
    <t>陳鼎升/970573</t>
    <phoneticPr fontId="5" type="noConversion"/>
  </si>
  <si>
    <t>成績/積分</t>
    <phoneticPr fontId="4" type="noConversion"/>
  </si>
  <si>
    <t>女青50公尺自由式</t>
    <phoneticPr fontId="4" type="noConversion"/>
  </si>
  <si>
    <t>19:09~19:11</t>
    <phoneticPr fontId="5" type="noConversion"/>
  </si>
  <si>
    <t>葉淑婷/527597</t>
    <phoneticPr fontId="5" type="noConversion"/>
  </si>
  <si>
    <t>19:12~19:14</t>
    <phoneticPr fontId="5" type="noConversion"/>
  </si>
  <si>
    <t>女壯50公尺自由式</t>
    <phoneticPr fontId="4" type="noConversion"/>
  </si>
  <si>
    <t>19:15~19:17</t>
    <phoneticPr fontId="5" type="noConversion"/>
  </si>
  <si>
    <t>陳佩君/920580</t>
    <phoneticPr fontId="4" type="noConversion"/>
  </si>
  <si>
    <t>王佳雯/840319</t>
    <phoneticPr fontId="5" type="noConversion"/>
  </si>
  <si>
    <t>徐愛蒂/A10469</t>
    <phoneticPr fontId="5" type="noConversion"/>
  </si>
  <si>
    <t>男青50公尺自由式</t>
    <phoneticPr fontId="4" type="noConversion"/>
  </si>
  <si>
    <t>19:18~19:20</t>
    <phoneticPr fontId="5" type="noConversion"/>
  </si>
  <si>
    <t>黃健智/A30367</t>
    <phoneticPr fontId="5" type="noConversion"/>
  </si>
  <si>
    <t>P. Chondro/A60184</t>
    <phoneticPr fontId="5" type="noConversion"/>
  </si>
  <si>
    <t>張至善/A40475</t>
    <phoneticPr fontId="5" type="noConversion"/>
  </si>
  <si>
    <t>19:21~19:23</t>
    <phoneticPr fontId="5" type="noConversion"/>
  </si>
  <si>
    <t>黃泓文/533388</t>
    <phoneticPr fontId="5" type="noConversion"/>
  </si>
  <si>
    <t>19:24~19:26</t>
    <phoneticPr fontId="5" type="noConversion"/>
  </si>
  <si>
    <t>曾俊傑/A10306</t>
    <phoneticPr fontId="5" type="noConversion"/>
  </si>
  <si>
    <t>黃幸誠/A40157</t>
    <phoneticPr fontId="5" type="noConversion"/>
  </si>
  <si>
    <t>19:27~19:29</t>
    <phoneticPr fontId="5" type="noConversion"/>
  </si>
  <si>
    <t>張雍昌/A10030</t>
    <phoneticPr fontId="5" type="noConversion"/>
  </si>
  <si>
    <t>女青200公尺蛙式</t>
    <phoneticPr fontId="4" type="noConversion"/>
  </si>
  <si>
    <t>19:30~19:36</t>
    <phoneticPr fontId="5" type="noConversion"/>
  </si>
  <si>
    <t>簡珮珊/50187</t>
    <phoneticPr fontId="5" type="noConversion"/>
  </si>
  <si>
    <t>男青200公尺蛙式</t>
    <phoneticPr fontId="4" type="noConversion"/>
  </si>
  <si>
    <t>19:37~19:43</t>
    <phoneticPr fontId="5" type="noConversion"/>
  </si>
  <si>
    <t>蔡華龍/531357</t>
    <phoneticPr fontId="5" type="noConversion"/>
  </si>
  <si>
    <t>白家豪/A40433</t>
    <phoneticPr fontId="5" type="noConversion"/>
  </si>
  <si>
    <t>19:44~19:50</t>
    <phoneticPr fontId="5" type="noConversion"/>
  </si>
  <si>
    <t>19:51~19:57</t>
    <phoneticPr fontId="5" type="noConversion"/>
  </si>
  <si>
    <t>王品宸/532231</t>
    <phoneticPr fontId="5" type="noConversion"/>
  </si>
  <si>
    <t>19:58~20:04</t>
    <phoneticPr fontId="5" type="noConversion"/>
  </si>
  <si>
    <t>張中一/A30088</t>
    <phoneticPr fontId="5" type="noConversion"/>
  </si>
  <si>
    <t xml:space="preserve">主管200公尺接力賽
(至少需一名組長職位之主管) </t>
    <phoneticPr fontId="4" type="noConversion"/>
  </si>
  <si>
    <t>20:09~20:15</t>
    <phoneticPr fontId="5" type="noConversion"/>
  </si>
  <si>
    <t>男子組200公尺接力</t>
    <phoneticPr fontId="4" type="noConversion"/>
  </si>
  <si>
    <t>20:16~20:22</t>
    <phoneticPr fontId="5" type="noConversion"/>
  </si>
  <si>
    <t xml:space="preserve">大隊接力
</t>
    <phoneticPr fontId="4" type="noConversion"/>
  </si>
  <si>
    <t>20:23~20:33</t>
    <phoneticPr fontId="5" type="noConversion"/>
  </si>
  <si>
    <t>即時戰況</t>
    <phoneticPr fontId="4" type="noConversion"/>
  </si>
  <si>
    <t>KAXE 戰斧隊</t>
    <phoneticPr fontId="4" type="noConversion"/>
  </si>
  <si>
    <t>SUNBT 三八隊</t>
    <phoneticPr fontId="4" type="noConversion"/>
  </si>
  <si>
    <t>巨資RF 進擊巨人隊</t>
    <phoneticPr fontId="4" type="noConversion"/>
  </si>
  <si>
    <t>MDVC 瘋狂騎士隊</t>
    <phoneticPr fontId="4" type="noConversion"/>
  </si>
  <si>
    <t>區隊積分</t>
    <phoneticPr fontId="4" type="noConversion"/>
  </si>
  <si>
    <t>區隊額外加扣分</t>
    <phoneticPr fontId="4" type="noConversion"/>
  </si>
  <si>
    <t>區隊總積分</t>
    <phoneticPr fontId="5" type="noConversion"/>
  </si>
  <si>
    <t>名次</t>
    <phoneticPr fontId="5" type="noConversion"/>
  </si>
  <si>
    <t>X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</si>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</sst>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m:ss.00"/>
    <numFmt numFmtId="177" formatCode="0_);[Red]\(0\)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4"/>
      <color theme="0"/>
      <name val="標楷體"/>
      <family val="4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name val="標楷體"/>
      <family val="4"/>
      <charset val="136"/>
    </font>
    <font>
      <sz val="14"/>
      <color theme="0"/>
      <name val="標楷體"/>
      <family val="4"/>
      <charset val="136"/>
    </font>
    <font>
      <b/>
      <sz val="14"/>
      <name val="標楷體"/>
      <family val="4"/>
      <charset val="136"/>
    </font>
    <font>
      <sz val="12"/>
      <name val="新細明體"/>
      <family val="2"/>
      <charset val="136"/>
      <scheme val="minor"/>
    </font>
    <font>
      <b/>
      <u/>
      <sz val="12"/>
      <color theme="5" tint="-0.499984740745262"/>
      <name val="標楷體"/>
      <family val="4"/>
      <charset val="136"/>
    </font>
    <font>
      <b/>
      <sz val="12"/>
      <color theme="4" tint="-0.499984740745262"/>
      <name val="標楷體"/>
      <family val="4"/>
      <charset val="136"/>
    </font>
    <font>
      <b/>
      <u/>
      <sz val="12"/>
      <name val="標楷體"/>
      <family val="4"/>
      <charset val="136"/>
    </font>
  </fonts>
  <fills count="1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7030A0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0">
    <xf numFmtId="0" fontId="0" fillId="0" borderId="0" xfId="0">
      <alignment vertical="center"/>
    </xf>
    <xf numFmtId="0" fontId="6" fillId="4" borderId="1" xfId="1" applyFont="1" applyFill="1" applyBorder="1" applyAlignment="1">
      <alignment horizontal="center" vertical="center" wrapText="1"/>
    </xf>
    <xf numFmtId="0" fontId="6" fillId="5" borderId="1" xfId="1" applyFont="1" applyFill="1" applyBorder="1" applyAlignment="1">
      <alignment horizontal="center" vertical="center" wrapText="1"/>
    </xf>
    <xf numFmtId="0" fontId="6" fillId="6" borderId="1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0" borderId="0" xfId="0" applyFont="1">
      <alignment vertical="center"/>
    </xf>
    <xf numFmtId="0" fontId="0" fillId="13" borderId="1" xfId="0" applyFill="1" applyBorder="1">
      <alignment vertical="center"/>
    </xf>
    <xf numFmtId="0" fontId="9" fillId="13" borderId="1" xfId="0" applyFont="1" applyFill="1" applyBorder="1">
      <alignment vertical="center"/>
    </xf>
    <xf numFmtId="20" fontId="6" fillId="3" borderId="1" xfId="1" applyNumberFormat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6" fillId="9" borderId="1" xfId="1" applyFont="1" applyFill="1" applyBorder="1" applyAlignment="1">
      <alignment horizontal="center" vertical="center" wrapText="1"/>
    </xf>
    <xf numFmtId="0" fontId="6" fillId="10" borderId="1" xfId="1" applyFont="1" applyFill="1" applyBorder="1" applyAlignment="1">
      <alignment horizontal="center" vertical="center" wrapText="1"/>
    </xf>
    <xf numFmtId="0" fontId="6" fillId="8" borderId="1" xfId="1" applyFont="1" applyFill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6" fillId="3" borderId="1" xfId="1" applyFont="1" applyFill="1" applyBorder="1" applyAlignment="1" applyProtection="1">
      <alignment horizontal="center" vertical="center" wrapText="1"/>
    </xf>
    <xf numFmtId="176" fontId="6" fillId="6" borderId="1" xfId="1" applyNumberFormat="1" applyFont="1" applyFill="1" applyBorder="1" applyAlignment="1" applyProtection="1">
      <alignment horizontal="center" vertical="center" wrapText="1"/>
      <protection locked="0"/>
    </xf>
    <xf numFmtId="176" fontId="6" fillId="5" borderId="1" xfId="1" applyNumberFormat="1" applyFont="1" applyFill="1" applyBorder="1" applyAlignment="1" applyProtection="1">
      <alignment horizontal="center" vertical="center" wrapText="1"/>
      <protection locked="0"/>
    </xf>
    <xf numFmtId="176" fontId="6" fillId="7" borderId="1" xfId="1" applyNumberFormat="1" applyFont="1" applyFill="1" applyBorder="1" applyAlignment="1" applyProtection="1">
      <alignment horizontal="center" vertical="center" wrapText="1"/>
      <protection locked="0"/>
    </xf>
    <xf numFmtId="176" fontId="6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1" applyFon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13" borderId="5" xfId="0" applyFill="1" applyBorder="1">
      <alignment vertical="center"/>
    </xf>
    <xf numFmtId="0" fontId="0" fillId="0" borderId="1" xfId="0" applyBorder="1" applyProtection="1">
      <alignment vertical="center"/>
    </xf>
    <xf numFmtId="0" fontId="0" fillId="0" borderId="5" xfId="0" applyBorder="1" applyProtection="1">
      <alignment vertical="center"/>
    </xf>
    <xf numFmtId="0" fontId="6" fillId="9" borderId="1" xfId="1" applyFont="1" applyFill="1" applyBorder="1" applyAlignment="1" applyProtection="1">
      <alignment horizontal="center" vertical="center" wrapText="1"/>
    </xf>
    <xf numFmtId="176" fontId="6" fillId="6" borderId="5" xfId="1" applyNumberFormat="1" applyFont="1" applyFill="1" applyBorder="1" applyAlignment="1" applyProtection="1">
      <alignment horizontal="center" vertical="center" wrapText="1"/>
      <protection locked="0"/>
    </xf>
    <xf numFmtId="0" fontId="6" fillId="6" borderId="5" xfId="1" applyFont="1" applyFill="1" applyBorder="1" applyAlignment="1">
      <alignment horizontal="center" vertical="center" wrapText="1"/>
    </xf>
    <xf numFmtId="0" fontId="6" fillId="5" borderId="5" xfId="1" applyFont="1" applyFill="1" applyBorder="1" applyAlignment="1">
      <alignment horizontal="center" vertical="center" wrapText="1"/>
    </xf>
    <xf numFmtId="176" fontId="6" fillId="5" borderId="5" xfId="1" applyNumberFormat="1" applyFont="1" applyFill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</xf>
    <xf numFmtId="0" fontId="6" fillId="8" borderId="1" xfId="1" applyFont="1" applyFill="1" applyBorder="1" applyAlignment="1" applyProtection="1">
      <alignment horizontal="center" vertical="center" wrapText="1"/>
    </xf>
    <xf numFmtId="0" fontId="8" fillId="12" borderId="0" xfId="1" applyFont="1" applyFill="1" applyBorder="1" applyAlignment="1" applyProtection="1">
      <alignment horizontal="center" vertical="center"/>
    </xf>
    <xf numFmtId="0" fontId="8" fillId="12" borderId="0" xfId="1" applyFont="1" applyFill="1" applyBorder="1" applyAlignment="1" applyProtection="1">
      <alignment horizontal="center" vertical="center" wrapText="1"/>
    </xf>
    <xf numFmtId="0" fontId="6" fillId="12" borderId="0" xfId="1" applyFont="1" applyFill="1" applyBorder="1" applyAlignment="1" applyProtection="1">
      <alignment horizontal="center" vertical="center" wrapText="1"/>
    </xf>
    <xf numFmtId="0" fontId="0" fillId="0" borderId="0" xfId="0" applyBorder="1" applyProtection="1">
      <alignment vertical="center"/>
    </xf>
    <xf numFmtId="0" fontId="6" fillId="4" borderId="1" xfId="1" applyFont="1" applyFill="1" applyBorder="1" applyAlignment="1" applyProtection="1">
      <alignment horizontal="center" vertical="center"/>
    </xf>
    <xf numFmtId="0" fontId="6" fillId="5" borderId="1" xfId="1" applyFont="1" applyFill="1" applyBorder="1" applyAlignment="1" applyProtection="1">
      <alignment horizontal="center" vertical="center"/>
    </xf>
    <xf numFmtId="0" fontId="6" fillId="7" borderId="1" xfId="1" applyFont="1" applyFill="1" applyBorder="1" applyAlignment="1" applyProtection="1">
      <alignment horizontal="center" vertical="center"/>
    </xf>
    <xf numFmtId="0" fontId="6" fillId="6" borderId="1" xfId="1" applyFont="1" applyFill="1" applyBorder="1" applyAlignment="1" applyProtection="1">
      <alignment horizontal="center" vertical="center"/>
    </xf>
    <xf numFmtId="0" fontId="6" fillId="4" borderId="1" xfId="1" applyFont="1" applyFill="1" applyBorder="1" applyAlignment="1" applyProtection="1">
      <alignment horizontal="center" vertical="center" wrapText="1"/>
    </xf>
    <xf numFmtId="0" fontId="6" fillId="5" borderId="1" xfId="1" applyFont="1" applyFill="1" applyBorder="1" applyAlignment="1" applyProtection="1">
      <alignment horizontal="center" vertical="center" wrapText="1"/>
    </xf>
    <xf numFmtId="0" fontId="6" fillId="7" borderId="1" xfId="1" applyFont="1" applyFill="1" applyBorder="1" applyAlignment="1" applyProtection="1">
      <alignment horizontal="center" vertical="center" wrapText="1"/>
    </xf>
    <xf numFmtId="0" fontId="6" fillId="6" borderId="1" xfId="1" applyFont="1" applyFill="1" applyBorder="1" applyAlignment="1" applyProtection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 applyProtection="1">
      <alignment horizontal="center" vertical="center" wrapText="1"/>
    </xf>
    <xf numFmtId="0" fontId="10" fillId="6" borderId="1" xfId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 wrapText="1"/>
    </xf>
    <xf numFmtId="0" fontId="10" fillId="7" borderId="1" xfId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 applyProtection="1">
      <alignment horizontal="center" vertical="center" wrapText="1"/>
      <protection locked="0"/>
    </xf>
    <xf numFmtId="176" fontId="11" fillId="5" borderId="1" xfId="1" applyNumberFormat="1" applyFont="1" applyFill="1" applyBorder="1" applyAlignment="1" applyProtection="1">
      <alignment horizontal="center" vertical="center" wrapText="1"/>
      <protection locked="0"/>
    </xf>
    <xf numFmtId="176" fontId="10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176" fontId="6" fillId="6" borderId="1" xfId="1" applyNumberFormat="1" applyFont="1" applyFill="1" applyBorder="1" applyAlignment="1">
      <alignment horizontal="center" vertical="center" wrapText="1"/>
    </xf>
    <xf numFmtId="176" fontId="12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10" borderId="0" xfId="0" applyFill="1">
      <alignment vertical="center"/>
    </xf>
    <xf numFmtId="176" fontId="6" fillId="5" borderId="1" xfId="1" applyNumberFormat="1" applyFont="1" applyFill="1" applyBorder="1" applyAlignment="1">
      <alignment horizontal="center" vertical="center" wrapText="1"/>
    </xf>
    <xf numFmtId="176" fontId="6" fillId="7" borderId="1" xfId="1" applyNumberFormat="1" applyFont="1" applyFill="1" applyBorder="1" applyAlignment="1">
      <alignment horizontal="center" vertical="center" wrapText="1"/>
    </xf>
    <xf numFmtId="176" fontId="6" fillId="4" borderId="1" xfId="1" applyNumberFormat="1" applyFont="1" applyFill="1" applyBorder="1" applyAlignment="1">
      <alignment horizontal="center" vertical="center" wrapText="1"/>
    </xf>
    <xf numFmtId="0" fontId="6" fillId="3" borderId="2" xfId="1" applyFont="1" applyFill="1" applyBorder="1" applyAlignment="1" applyProtection="1">
      <alignment horizontal="center" vertical="center" wrapText="1"/>
    </xf>
    <xf numFmtId="0" fontId="6" fillId="3" borderId="4" xfId="1" applyFont="1" applyFill="1" applyBorder="1" applyAlignment="1" applyProtection="1">
      <alignment horizontal="center" vertical="center" wrapText="1"/>
    </xf>
    <xf numFmtId="0" fontId="6" fillId="3" borderId="3" xfId="1" applyFont="1" applyFill="1" applyBorder="1" applyAlignment="1" applyProtection="1">
      <alignment horizontal="center" vertical="center" wrapText="1"/>
    </xf>
    <xf numFmtId="0" fontId="6" fillId="9" borderId="2" xfId="1" applyFont="1" applyFill="1" applyBorder="1" applyAlignment="1" applyProtection="1">
      <alignment horizontal="center" vertical="center" wrapText="1"/>
    </xf>
    <xf numFmtId="0" fontId="6" fillId="14" borderId="2" xfId="1" applyFont="1" applyFill="1" applyBorder="1" applyAlignment="1" applyProtection="1">
      <alignment horizontal="center" vertical="center" wrapText="1"/>
    </xf>
    <xf numFmtId="177" fontId="6" fillId="6" borderId="1" xfId="1" applyNumberFormat="1" applyFont="1" applyFill="1" applyBorder="1" applyAlignment="1" applyProtection="1">
      <alignment horizontal="center" vertical="center" wrapText="1"/>
    </xf>
    <xf numFmtId="177" fontId="6" fillId="7" borderId="1" xfId="1" applyNumberFormat="1" applyFont="1" applyFill="1" applyBorder="1" applyAlignment="1" applyProtection="1">
      <alignment horizontal="center" vertical="center" wrapText="1"/>
    </xf>
    <xf numFmtId="177" fontId="6" fillId="5" borderId="1" xfId="1" applyNumberFormat="1" applyFont="1" applyFill="1" applyBorder="1" applyAlignment="1" applyProtection="1">
      <alignment horizontal="center" vertical="center" wrapText="1"/>
    </xf>
    <xf numFmtId="177" fontId="6" fillId="4" borderId="1" xfId="1" applyNumberFormat="1" applyFont="1" applyFill="1" applyBorder="1" applyAlignment="1" applyProtection="1">
      <alignment horizontal="center" vertical="center" wrapText="1"/>
    </xf>
    <xf numFmtId="177" fontId="6" fillId="6" borderId="1" xfId="1" applyNumberFormat="1" applyFont="1" applyFill="1" applyBorder="1" applyAlignment="1" applyProtection="1">
      <alignment horizontal="center" vertical="center" wrapText="1"/>
      <protection locked="0"/>
    </xf>
    <xf numFmtId="177" fontId="6" fillId="7" borderId="1" xfId="1" applyNumberFormat="1" applyFont="1" applyFill="1" applyBorder="1" applyAlignment="1" applyProtection="1">
      <alignment horizontal="center" vertical="center" wrapText="1"/>
      <protection locked="0"/>
    </xf>
    <xf numFmtId="177" fontId="6" fillId="5" borderId="1" xfId="1" applyNumberFormat="1" applyFont="1" applyFill="1" applyBorder="1" applyAlignment="1" applyProtection="1">
      <alignment horizontal="center" vertical="center" wrapText="1"/>
      <protection locked="0"/>
    </xf>
    <xf numFmtId="177" fontId="6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8" borderId="2" xfId="1" applyFont="1" applyFill="1" applyBorder="1" applyAlignment="1" applyProtection="1">
      <alignment horizontal="center" vertical="center" wrapText="1"/>
    </xf>
    <xf numFmtId="0" fontId="6" fillId="3" borderId="1" xfId="1" applyFont="1" applyFill="1" applyBorder="1" applyAlignment="1" applyProtection="1">
      <alignment horizontal="center" vertical="center"/>
    </xf>
    <xf numFmtId="49" fontId="3" fillId="2" borderId="2" xfId="1" applyNumberFormat="1" applyFont="1" applyFill="1" applyBorder="1" applyAlignment="1" applyProtection="1">
      <alignment horizontal="center" vertical="center"/>
    </xf>
    <xf numFmtId="49" fontId="3" fillId="2" borderId="1" xfId="1" applyNumberFormat="1" applyFont="1" applyFill="1" applyBorder="1" applyAlignment="1" applyProtection="1">
      <alignment horizontal="center" vertical="center"/>
    </xf>
    <xf numFmtId="49" fontId="3" fillId="2" borderId="3" xfId="1" applyNumberFormat="1" applyFont="1" applyFill="1" applyBorder="1" applyAlignment="1" applyProtection="1">
      <alignment horizontal="center" vertical="center"/>
    </xf>
    <xf numFmtId="177" fontId="6" fillId="4" borderId="3" xfId="1" applyNumberFormat="1" applyFont="1" applyFill="1" applyBorder="1" applyAlignment="1" applyProtection="1">
      <alignment horizontal="center" vertical="center" wrapText="1"/>
    </xf>
    <xf numFmtId="177" fontId="6" fillId="5" borderId="3" xfId="1" applyNumberFormat="1" applyFont="1" applyFill="1" applyBorder="1" applyAlignment="1" applyProtection="1">
      <alignment horizontal="center" vertical="center" wrapText="1"/>
    </xf>
    <xf numFmtId="177" fontId="6" fillId="7" borderId="3" xfId="1" applyNumberFormat="1" applyFont="1" applyFill="1" applyBorder="1" applyAlignment="1" applyProtection="1">
      <alignment horizontal="center" vertical="center" wrapText="1"/>
    </xf>
    <xf numFmtId="177" fontId="6" fillId="6" borderId="3" xfId="1" applyNumberFormat="1" applyFont="1" applyFill="1" applyBorder="1" applyAlignment="1" applyProtection="1">
      <alignment horizontal="center" vertical="center" wrapText="1"/>
    </xf>
    <xf numFmtId="0" fontId="6" fillId="9" borderId="11" xfId="1" applyFont="1" applyFill="1" applyBorder="1" applyAlignment="1" applyProtection="1">
      <alignment horizontal="center" vertical="center" wrapText="1"/>
    </xf>
    <xf numFmtId="49" fontId="3" fillId="2" borderId="11" xfId="1" applyNumberFormat="1" applyFont="1" applyFill="1" applyBorder="1" applyAlignment="1" applyProtection="1">
      <alignment horizontal="center" vertical="center"/>
    </xf>
    <xf numFmtId="177" fontId="6" fillId="4" borderId="11" xfId="1" applyNumberFormat="1" applyFont="1" applyFill="1" applyBorder="1" applyAlignment="1" applyProtection="1">
      <alignment horizontal="center" vertical="center" wrapText="1"/>
    </xf>
    <xf numFmtId="177" fontId="6" fillId="5" borderId="11" xfId="1" applyNumberFormat="1" applyFont="1" applyFill="1" applyBorder="1" applyAlignment="1" applyProtection="1">
      <alignment horizontal="center" vertical="center" wrapText="1"/>
    </xf>
    <xf numFmtId="177" fontId="6" fillId="7" borderId="11" xfId="1" applyNumberFormat="1" applyFont="1" applyFill="1" applyBorder="1" applyAlignment="1" applyProtection="1">
      <alignment horizontal="center" vertical="center" wrapText="1"/>
    </xf>
    <xf numFmtId="177" fontId="6" fillId="6" borderId="11" xfId="1" applyNumberFormat="1" applyFont="1" applyFill="1" applyBorder="1" applyAlignment="1" applyProtection="1">
      <alignment horizontal="center" vertical="center" wrapText="1"/>
    </xf>
    <xf numFmtId="0" fontId="3" fillId="2" borderId="2" xfId="1" applyFont="1" applyFill="1" applyBorder="1" applyAlignment="1" applyProtection="1">
      <alignment horizontal="center" vertical="center"/>
    </xf>
    <xf numFmtId="0" fontId="6" fillId="10" borderId="2" xfId="1" applyFont="1" applyFill="1" applyBorder="1" applyAlignment="1" applyProtection="1">
      <alignment horizontal="center" vertical="center" wrapText="1"/>
    </xf>
    <xf numFmtId="0" fontId="6" fillId="3" borderId="2" xfId="1" applyFont="1" applyFill="1" applyBorder="1" applyAlignment="1" applyProtection="1">
      <alignment horizontal="center" vertical="center" wrapText="1"/>
    </xf>
    <xf numFmtId="0" fontId="6" fillId="8" borderId="2" xfId="1" applyFont="1" applyFill="1" applyBorder="1" applyAlignment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 wrapText="1"/>
    </xf>
    <xf numFmtId="0" fontId="6" fillId="9" borderId="2" xfId="1" applyFont="1" applyFill="1" applyBorder="1" applyAlignment="1" applyProtection="1">
      <alignment horizontal="center" vertical="center" wrapText="1"/>
    </xf>
    <xf numFmtId="49" fontId="3" fillId="2" borderId="2" xfId="1" applyNumberFormat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6" fillId="9" borderId="6" xfId="1" applyFont="1" applyFill="1" applyBorder="1" applyAlignment="1">
      <alignment horizontal="center" vertical="center" wrapText="1"/>
    </xf>
    <xf numFmtId="0" fontId="6" fillId="14" borderId="2" xfId="1" applyFont="1" applyFill="1" applyBorder="1" applyAlignment="1" applyProtection="1">
      <alignment horizontal="center" vertical="center" wrapText="1"/>
    </xf>
    <xf numFmtId="49" fontId="3" fillId="2" borderId="1" xfId="1" applyNumberFormat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9" fillId="13" borderId="5" xfId="0" applyFont="1" applyFill="1" applyBorder="1">
      <alignment vertical="center"/>
    </xf>
    <xf numFmtId="0" fontId="3" fillId="2" borderId="1" xfId="1" applyFont="1" applyFill="1" applyBorder="1" applyAlignment="1">
      <alignment horizontal="center" vertical="center"/>
    </xf>
    <xf numFmtId="0" fontId="6" fillId="3" borderId="2" xfId="1" applyFont="1" applyFill="1" applyBorder="1" applyAlignment="1" applyProtection="1">
      <alignment horizontal="center" vertical="center" wrapText="1"/>
    </xf>
    <xf numFmtId="0" fontId="6" fillId="3" borderId="4" xfId="1" applyFont="1" applyFill="1" applyBorder="1" applyAlignment="1" applyProtection="1">
      <alignment horizontal="center" vertical="center" wrapText="1"/>
    </xf>
    <xf numFmtId="0" fontId="6" fillId="3" borderId="3" xfId="1" applyFont="1" applyFill="1" applyBorder="1" applyAlignment="1" applyProtection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6" fillId="14" borderId="2" xfId="1" applyFont="1" applyFill="1" applyBorder="1" applyAlignment="1" applyProtection="1">
      <alignment horizontal="center" vertical="center" wrapText="1"/>
    </xf>
    <xf numFmtId="0" fontId="6" fillId="14" borderId="4" xfId="1" applyFont="1" applyFill="1" applyBorder="1" applyAlignment="1" applyProtection="1">
      <alignment horizontal="center" vertical="center" wrapText="1"/>
    </xf>
    <xf numFmtId="0" fontId="6" fillId="14" borderId="3" xfId="1" applyFont="1" applyFill="1" applyBorder="1" applyAlignment="1" applyProtection="1">
      <alignment horizontal="center" vertical="center" wrapText="1"/>
    </xf>
    <xf numFmtId="0" fontId="6" fillId="9" borderId="2" xfId="1" applyFont="1" applyFill="1" applyBorder="1" applyAlignment="1" applyProtection="1">
      <alignment horizontal="center" vertical="center" wrapText="1"/>
    </xf>
    <xf numFmtId="0" fontId="6" fillId="9" borderId="4" xfId="1" applyFont="1" applyFill="1" applyBorder="1" applyAlignment="1" applyProtection="1">
      <alignment horizontal="center" vertical="center" wrapText="1"/>
    </xf>
    <xf numFmtId="0" fontId="6" fillId="9" borderId="3" xfId="1" applyFont="1" applyFill="1" applyBorder="1" applyAlignment="1" applyProtection="1">
      <alignment horizontal="center" vertical="center" wrapText="1"/>
    </xf>
    <xf numFmtId="0" fontId="3" fillId="2" borderId="2" xfId="1" applyFont="1" applyFill="1" applyBorder="1" applyAlignment="1" applyProtection="1">
      <alignment horizontal="center" vertical="center"/>
    </xf>
    <xf numFmtId="0" fontId="3" fillId="2" borderId="4" xfId="1" applyFont="1" applyFill="1" applyBorder="1" applyAlignment="1" applyProtection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/>
    </xf>
    <xf numFmtId="49" fontId="3" fillId="2" borderId="4" xfId="1" applyNumberFormat="1" applyFont="1" applyFill="1" applyBorder="1" applyAlignment="1">
      <alignment horizontal="center" vertical="center" wrapText="1"/>
    </xf>
    <xf numFmtId="0" fontId="3" fillId="2" borderId="3" xfId="1" applyFont="1" applyFill="1" applyBorder="1" applyAlignment="1" applyProtection="1">
      <alignment horizontal="center" vertical="center"/>
    </xf>
    <xf numFmtId="49" fontId="3" fillId="2" borderId="2" xfId="1" applyNumberFormat="1" applyFont="1" applyFill="1" applyBorder="1" applyAlignment="1">
      <alignment horizontal="center" vertical="center"/>
    </xf>
    <xf numFmtId="49" fontId="3" fillId="2" borderId="4" xfId="1" applyNumberFormat="1" applyFont="1" applyFill="1" applyBorder="1" applyAlignment="1">
      <alignment horizontal="center" vertical="center"/>
    </xf>
    <xf numFmtId="49" fontId="3" fillId="2" borderId="3" xfId="1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10" borderId="2" xfId="1" applyFont="1" applyFill="1" applyBorder="1" applyAlignment="1" applyProtection="1">
      <alignment horizontal="center" vertical="center" wrapText="1"/>
    </xf>
    <xf numFmtId="0" fontId="6" fillId="10" borderId="4" xfId="1" applyFont="1" applyFill="1" applyBorder="1" applyAlignment="1" applyProtection="1">
      <alignment horizontal="center" vertical="center" wrapText="1"/>
    </xf>
    <xf numFmtId="0" fontId="6" fillId="10" borderId="3" xfId="1" applyFont="1" applyFill="1" applyBorder="1" applyAlignment="1" applyProtection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49" fontId="3" fillId="2" borderId="3" xfId="1" applyNumberFormat="1" applyFont="1" applyFill="1" applyBorder="1" applyAlignment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</xf>
    <xf numFmtId="0" fontId="6" fillId="3" borderId="7" xfId="1" applyFont="1" applyFill="1" applyBorder="1" applyAlignment="1" applyProtection="1">
      <alignment horizontal="center" vertical="center"/>
    </xf>
    <xf numFmtId="0" fontId="6" fillId="3" borderId="8" xfId="1" applyFont="1" applyFill="1" applyBorder="1" applyAlignment="1" applyProtection="1">
      <alignment horizontal="center" vertical="center"/>
    </xf>
    <xf numFmtId="0" fontId="6" fillId="3" borderId="6" xfId="1" applyFont="1" applyFill="1" applyBorder="1" applyAlignment="1" applyProtection="1">
      <alignment horizontal="center" vertical="center" wrapText="1"/>
    </xf>
    <xf numFmtId="0" fontId="6" fillId="3" borderId="7" xfId="1" applyFont="1" applyFill="1" applyBorder="1" applyAlignment="1" applyProtection="1">
      <alignment horizontal="center" vertical="center" wrapText="1"/>
    </xf>
    <xf numFmtId="0" fontId="6" fillId="3" borderId="8" xfId="1" applyFont="1" applyFill="1" applyBorder="1" applyAlignment="1" applyProtection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6" fillId="3" borderId="0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0" xfId="0" applyBorder="1" applyAlignment="1">
      <alignment vertical="center"/>
    </xf>
    <xf numFmtId="0" fontId="6" fillId="9" borderId="6" xfId="1" applyFont="1" applyFill="1" applyBorder="1" applyAlignment="1">
      <alignment horizontal="center" vertical="center" wrapText="1"/>
    </xf>
    <xf numFmtId="0" fontId="6" fillId="9" borderId="7" xfId="1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8" borderId="2" xfId="1" applyFont="1" applyFill="1" applyBorder="1" applyAlignment="1">
      <alignment horizontal="center" vertical="center" wrapText="1"/>
    </xf>
    <xf numFmtId="0" fontId="6" fillId="8" borderId="4" xfId="1" applyFont="1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203"/>
  <sheetViews>
    <sheetView tabSelected="1" zoomScale="70" zoomScaleNormal="70" zoomScaleSheetLayoutView="80" workbookViewId="0">
      <pane ySplit="1" topLeftCell="A2" activePane="bottomLeft" state="frozen"/>
      <selection pane="bottomLeft" activeCell="F145" sqref="F145"/>
    </sheetView>
  </sheetViews>
  <sheetFormatPr defaultColWidth="25.6328125" defaultRowHeight="17" x14ac:dyDescent="0.4"/>
  <cols>
    <col min="1" max="1" width="8.6328125" customWidth="1"/>
    <col min="2" max="2" width="41.453125" customWidth="1"/>
    <col min="3" max="3" width="15.6328125" customWidth="1"/>
    <col min="4" max="9" width="27.6328125" customWidth="1"/>
    <col min="10" max="10" width="27.6328125" style="15" customWidth="1"/>
    <col min="11" max="14" width="27.6328125" customWidth="1"/>
    <col min="15" max="21" width="2.453125" bestFit="1" customWidth="1"/>
  </cols>
  <sheetData>
    <row r="1" spans="1:10" ht="19.5" x14ac:dyDescent="0.4">
      <c r="A1" s="14" t="s">
        <v>1</v>
      </c>
      <c r="B1" s="14" t="s">
        <v>14</v>
      </c>
      <c r="C1" s="14" t="s">
        <v>3</v>
      </c>
      <c r="D1" s="14" t="s">
        <v>16</v>
      </c>
      <c r="E1" s="14" t="s">
        <v>2</v>
      </c>
      <c r="F1" s="14" t="s">
        <v>15</v>
      </c>
      <c r="G1" s="14" t="s">
        <v>17</v>
      </c>
      <c r="H1" s="14" t="s">
        <v>18</v>
      </c>
      <c r="I1" s="14" t="s">
        <v>19</v>
      </c>
    </row>
    <row r="2" spans="1:10" ht="19.5" customHeight="1" x14ac:dyDescent="0.4">
      <c r="A2" s="104">
        <v>1</v>
      </c>
      <c r="B2" s="105" t="s">
        <v>20</v>
      </c>
      <c r="C2" s="9" t="s">
        <v>21</v>
      </c>
      <c r="D2" s="7"/>
      <c r="E2" s="2" t="s">
        <v>81</v>
      </c>
      <c r="F2" s="2" t="s">
        <v>84</v>
      </c>
      <c r="G2" s="4" t="s">
        <v>85</v>
      </c>
      <c r="H2" s="7"/>
      <c r="I2" s="7"/>
    </row>
    <row r="3" spans="1:10" ht="19.5" customHeight="1" x14ac:dyDescent="0.4">
      <c r="A3" s="104"/>
      <c r="B3" s="106"/>
      <c r="C3" s="16" t="s">
        <v>22</v>
      </c>
      <c r="D3" s="7"/>
      <c r="E3" s="18">
        <v>1.143275462962963E-2</v>
      </c>
      <c r="F3" s="18">
        <v>1.1539004629629632E-2</v>
      </c>
      <c r="G3" s="19">
        <v>1.1408796296296297E-2</v>
      </c>
      <c r="H3" s="7"/>
      <c r="I3" s="7"/>
    </row>
    <row r="4" spans="1:10" ht="19.5" customHeight="1" x14ac:dyDescent="0.4">
      <c r="A4" s="104"/>
      <c r="B4" s="106"/>
      <c r="C4" s="16" t="s">
        <v>23</v>
      </c>
      <c r="D4" s="21"/>
      <c r="E4" s="21">
        <f t="shared" ref="E4:F4" si="0">IF(OR(E3="-",E3="X"),0,RANK(E3,($E3:$G3),1))</f>
        <v>2</v>
      </c>
      <c r="F4" s="21">
        <f t="shared" si="0"/>
        <v>3</v>
      </c>
      <c r="G4" s="21">
        <f>IF(OR(G3="-",G3="X"),"-",RANK(G3,($E3:$G3),1))</f>
        <v>1</v>
      </c>
      <c r="H4" s="7"/>
      <c r="I4" s="7"/>
    </row>
    <row r="5" spans="1:10" ht="19.5" customHeight="1" x14ac:dyDescent="0.4">
      <c r="A5" s="104"/>
      <c r="B5" s="107"/>
      <c r="C5" s="16" t="s">
        <v>24</v>
      </c>
      <c r="D5" s="21"/>
      <c r="E5" s="21">
        <f>IF(OR(E3="-",E3="X"),LOOKUP(E3,{"-","X"},{0,-2}),CHOOSE(E4,7,5,4,3,2,1,0,0,0,0,0,0,0,0,0,0,0,0))</f>
        <v>5</v>
      </c>
      <c r="F5" s="21">
        <f>IF(OR(F3="-",F3="X"),LOOKUP(F3,{"-","X"},{0,-2}),CHOOSE(F4,7,5,4,3,2,1,0,0,0,0,0,0,0,0,0,0,0,0))</f>
        <v>4</v>
      </c>
      <c r="G5" s="21">
        <f>IF(OR(G3="-",G3="X"),LOOKUP(G3,{"-","X"},{0,-2}),CHOOSE(G4,7,5,4,3,2,1,0,0,0,0,0,0,0,0,0,0,0,0))</f>
        <v>7</v>
      </c>
      <c r="H5" s="7"/>
      <c r="I5" s="7"/>
    </row>
    <row r="6" spans="1:10" s="5" customFormat="1" ht="19.5" customHeight="1" x14ac:dyDescent="0.4">
      <c r="A6" s="108">
        <v>2</v>
      </c>
      <c r="B6" s="105" t="s">
        <v>25</v>
      </c>
      <c r="C6" s="9" t="s">
        <v>5</v>
      </c>
      <c r="D6" s="7"/>
      <c r="E6" s="1" t="s">
        <v>79</v>
      </c>
      <c r="F6" s="2" t="s">
        <v>81</v>
      </c>
      <c r="G6" s="3" t="s">
        <v>82</v>
      </c>
      <c r="H6" s="4" t="s">
        <v>165</v>
      </c>
      <c r="I6" s="7"/>
      <c r="J6" s="22"/>
    </row>
    <row r="7" spans="1:10" s="5" customFormat="1" ht="19.5" customHeight="1" x14ac:dyDescent="0.4">
      <c r="A7" s="109"/>
      <c r="B7" s="106"/>
      <c r="C7" s="16" t="s">
        <v>22</v>
      </c>
      <c r="D7" s="7"/>
      <c r="E7" s="20">
        <v>7.4599537037037039E-3</v>
      </c>
      <c r="F7" s="18">
        <v>5.7252314814814813E-3</v>
      </c>
      <c r="G7" s="17">
        <v>6.3552083333333334E-3</v>
      </c>
      <c r="H7" s="19">
        <v>6.1136574074074071E-3</v>
      </c>
      <c r="I7" s="7"/>
      <c r="J7" s="22"/>
    </row>
    <row r="8" spans="1:10" s="5" customFormat="1" ht="19.5" customHeight="1" x14ac:dyDescent="0.4">
      <c r="A8" s="109"/>
      <c r="B8" s="106"/>
      <c r="C8" s="16" t="s">
        <v>23</v>
      </c>
      <c r="D8" s="21"/>
      <c r="E8" s="21">
        <f>IF(OR(E7="-",E7="X"),"-",RANK(E7,($E7:$H7,$E11:$G11),1))</f>
        <v>7</v>
      </c>
      <c r="F8" s="21">
        <f>IF(OR(F7="-",F7="X"),"-",RANK(F7,($E7:$H7,$E11:$G11),1))</f>
        <v>2</v>
      </c>
      <c r="G8" s="21">
        <f>IF(OR(G7="-",G7="X"),"-",RANK(G7,($E7:$H7,$E11:$G11),1))</f>
        <v>5</v>
      </c>
      <c r="H8" s="21">
        <f>IF(OR(H7="-",H7="X"),"-",RANK(H7,($E7:$H7,$E11:$G11),1))</f>
        <v>4</v>
      </c>
      <c r="I8" s="7"/>
      <c r="J8" s="22"/>
    </row>
    <row r="9" spans="1:10" s="5" customFormat="1" ht="19.5" customHeight="1" x14ac:dyDescent="0.4">
      <c r="A9" s="109"/>
      <c r="B9" s="106"/>
      <c r="C9" s="16" t="s">
        <v>24</v>
      </c>
      <c r="D9" s="21"/>
      <c r="E9" s="21">
        <f>IF(OR(E7="-",E7="X"),LOOKUP(E7,{"-","X"},{0,-2}),CHOOSE(E8,7,5,4,3,2,1,0,0,0,0,0,0,0,0,0,0,0,0))</f>
        <v>0</v>
      </c>
      <c r="F9" s="21">
        <f>IF(OR(F7="-",F7="X"),LOOKUP(F7,{"-","X"},{0,-2}),CHOOSE(F8,7,5,4,3,2,1,0,0,0,0,0,0,0,0,0,0,0,0))</f>
        <v>5</v>
      </c>
      <c r="G9" s="21">
        <f>IF(OR(G7="-",G7="X"),LOOKUP(G7,{"-","X"},{0,-2}),CHOOSE(G8,7,5,4,3,2,1,0,0,0,0,0,0,0,0,0,0,0,0))</f>
        <v>2</v>
      </c>
      <c r="H9" s="21">
        <f>IF(OR(H7="-",H7="X"),LOOKUP(H7,{"-","X"},{0,-2}),CHOOSE(H8,7,5,4,3,2,1,0,0,0,0,0,0,0,0,0,0,0,0))</f>
        <v>3</v>
      </c>
      <c r="I9" s="7"/>
      <c r="J9" s="22"/>
    </row>
    <row r="10" spans="1:10" ht="19.5" customHeight="1" x14ac:dyDescent="0.4">
      <c r="A10" s="109"/>
      <c r="B10" s="106"/>
      <c r="C10" s="9" t="s">
        <v>86</v>
      </c>
      <c r="D10" s="7"/>
      <c r="E10" s="1" t="s">
        <v>83</v>
      </c>
      <c r="F10" s="2" t="s">
        <v>73</v>
      </c>
      <c r="G10" s="3" t="s">
        <v>10</v>
      </c>
      <c r="H10" s="7"/>
      <c r="I10" s="7"/>
    </row>
    <row r="11" spans="1:10" ht="19.5" customHeight="1" x14ac:dyDescent="0.4">
      <c r="A11" s="109"/>
      <c r="B11" s="106"/>
      <c r="C11" s="16" t="s">
        <v>22</v>
      </c>
      <c r="D11" s="7"/>
      <c r="E11" s="20">
        <v>5.3979166666666663E-3</v>
      </c>
      <c r="F11" s="18">
        <v>6.7658564814814812E-3</v>
      </c>
      <c r="G11" s="17">
        <v>5.9877314814814819E-3</v>
      </c>
      <c r="H11" s="7"/>
      <c r="I11" s="7"/>
    </row>
    <row r="12" spans="1:10" ht="19.5" customHeight="1" x14ac:dyDescent="0.4">
      <c r="A12" s="109"/>
      <c r="B12" s="106"/>
      <c r="C12" s="16" t="s">
        <v>23</v>
      </c>
      <c r="D12" s="21"/>
      <c r="E12" s="21">
        <f>IF(OR(E11="-",E11="X"),"-",RANK(E11,($E7:$H7,$E11:$G11),1))</f>
        <v>1</v>
      </c>
      <c r="F12" s="21">
        <f>IF(F11="-",0,RANK(F11,($E7:$H7,$E11:$G11),1))</f>
        <v>6</v>
      </c>
      <c r="G12" s="21">
        <f>IF(G11="-",0,RANK(G11,($E7:$H7,$E11:$G11),1))</f>
        <v>3</v>
      </c>
      <c r="H12" s="7"/>
      <c r="I12" s="7"/>
    </row>
    <row r="13" spans="1:10" ht="19.5" customHeight="1" x14ac:dyDescent="0.4">
      <c r="A13" s="110"/>
      <c r="B13" s="107"/>
      <c r="C13" s="16" t="s">
        <v>24</v>
      </c>
      <c r="D13" s="21"/>
      <c r="E13" s="21">
        <f>IF(OR(E11="-",E11="X"),LOOKUP(E11,{"-","X"},{0,-2}),CHOOSE(E12,7,5,4,3,2,1,0,0,0,0,0,0,0,0,0,0,0,0))</f>
        <v>7</v>
      </c>
      <c r="F13" s="21">
        <f>IF(OR(F11="-",F11="X"),LOOKUP(F11,{"-","X"},{0,-2}),CHOOSE(F12,7,5,4,3,2,1,0,0,0,0,0,0,0,0,0,0,0,0))</f>
        <v>1</v>
      </c>
      <c r="G13" s="21">
        <f>IF(OR(G11="-",G11="X"),LOOKUP(G11,{"-","X"},{0,-2}),CHOOSE(G12,7,5,4,3,2,1,0,0,0,0,0,0,0,0,0,0,0,0))</f>
        <v>4</v>
      </c>
      <c r="H13" s="7"/>
      <c r="I13" s="7"/>
    </row>
    <row r="14" spans="1:10" ht="19.5" customHeight="1" x14ac:dyDescent="0.4">
      <c r="A14" s="111" t="s">
        <v>105</v>
      </c>
      <c r="B14" s="112" t="s">
        <v>92</v>
      </c>
      <c r="C14" s="45" t="s">
        <v>93</v>
      </c>
      <c r="D14" s="4" t="s">
        <v>166</v>
      </c>
      <c r="E14" s="29" t="s">
        <v>88</v>
      </c>
      <c r="F14" s="54" t="s">
        <v>90</v>
      </c>
      <c r="G14" s="47" t="s">
        <v>158</v>
      </c>
      <c r="H14" s="47" t="s">
        <v>89</v>
      </c>
      <c r="I14" s="7"/>
    </row>
    <row r="15" spans="1:10" ht="19.5" customHeight="1" x14ac:dyDescent="0.4">
      <c r="A15" s="111"/>
      <c r="B15" s="113"/>
      <c r="C15" s="46" t="s">
        <v>22</v>
      </c>
      <c r="D15" s="19">
        <v>3.6049768518518518E-3</v>
      </c>
      <c r="E15" s="30">
        <v>1.5368055555555558E-3</v>
      </c>
      <c r="F15" s="20">
        <v>1.2626157407407408E-3</v>
      </c>
      <c r="G15" s="17">
        <v>1.1458333333333333E-3</v>
      </c>
      <c r="H15" s="17">
        <v>1.2945601851851853E-3</v>
      </c>
      <c r="I15" s="7"/>
    </row>
    <row r="16" spans="1:10" ht="19.5" customHeight="1" x14ac:dyDescent="0.4">
      <c r="A16" s="111"/>
      <c r="B16" s="113"/>
      <c r="C16" s="46" t="s">
        <v>23</v>
      </c>
      <c r="D16" s="21">
        <f>IF(OR(D15="-",D15="X"),"-",RANK(D15,($D15:$E15),1))</f>
        <v>2</v>
      </c>
      <c r="E16" s="21">
        <f t="shared" ref="E16" si="1">IF(OR(E15="-",E15="X"),"-",RANK(E15,($D15:$E15),1))</f>
        <v>1</v>
      </c>
      <c r="F16" s="21">
        <f>IF(OR(F15="-",F15="X"),"-",RANK(F15,($F15:$H15),1))</f>
        <v>2</v>
      </c>
      <c r="G16" s="21">
        <f t="shared" ref="G16:H16" si="2">IF(OR(G15="-",G15="X"),"-",RANK(G15,($F15:$H15),1))</f>
        <v>1</v>
      </c>
      <c r="H16" s="21">
        <f t="shared" si="2"/>
        <v>3</v>
      </c>
      <c r="I16" s="7"/>
    </row>
    <row r="17" spans="1:9" ht="19.5" customHeight="1" x14ac:dyDescent="0.4">
      <c r="A17" s="111"/>
      <c r="B17" s="114"/>
      <c r="C17" s="46" t="s">
        <v>24</v>
      </c>
      <c r="D17" s="21">
        <f>IF(OR(D15="-",D15="X"),LOOKUP(D15,{"-","X"},{0,-2}),CHOOSE(D16,7,5,4,3,2,1,0,0,0,0,0,0,0,0,0,0,0,0))</f>
        <v>5</v>
      </c>
      <c r="E17" s="21">
        <f>IF(OR(E15="-",E15="X"),LOOKUP(E15,{"-","X"},{0,-2}),CHOOSE(E16,7,5,4,3,2,1,0,0,0,0,0,0,0,0,0,0,0,0))</f>
        <v>7</v>
      </c>
      <c r="F17" s="21">
        <f>IF(OR(F15="-",F15="X"),LOOKUP(F15,{"-","X"},{0,-2}),CHOOSE(F16,7,5,4,3,2,1,0,0,0,0,0,0,0,0,0,0,0,0))</f>
        <v>5</v>
      </c>
      <c r="G17" s="21">
        <f>IF(OR(G15="-",G15="X"),LOOKUP(G15,{"-","X"},{0,-2}),CHOOSE(G16,7,5,4,3,2,1,0,0,0,0,0,0,0,0,0,0,0,0))</f>
        <v>7</v>
      </c>
      <c r="H17" s="21">
        <f>IF(OR(H15="-",H15="X"),LOOKUP(H15,{"-","X"},{0,-2}),CHOOSE(H16,7,5,4,3,2,1,0,0,0,0,0,0,0,0,0,0,0,0))</f>
        <v>4</v>
      </c>
      <c r="I17" s="7"/>
    </row>
    <row r="18" spans="1:9" ht="19.5" customHeight="1" x14ac:dyDescent="0.4">
      <c r="A18" s="111" t="s">
        <v>106</v>
      </c>
      <c r="B18" s="115" t="s">
        <v>26</v>
      </c>
      <c r="C18" s="26" t="s">
        <v>87</v>
      </c>
      <c r="D18" s="3" t="s">
        <v>91</v>
      </c>
      <c r="E18" s="4" t="s">
        <v>35</v>
      </c>
      <c r="F18" s="20" t="s">
        <v>27</v>
      </c>
      <c r="G18" s="47" t="s">
        <v>139</v>
      </c>
      <c r="H18" s="51" t="s">
        <v>48</v>
      </c>
      <c r="I18" s="47" t="s">
        <v>159</v>
      </c>
    </row>
    <row r="19" spans="1:9" ht="19.5" customHeight="1" x14ac:dyDescent="0.4">
      <c r="A19" s="111"/>
      <c r="B19" s="116"/>
      <c r="C19" s="26" t="s">
        <v>28</v>
      </c>
      <c r="D19" s="17">
        <v>1.6034722222222223E-3</v>
      </c>
      <c r="E19" s="19">
        <v>1.6861111111111111E-3</v>
      </c>
      <c r="F19" s="20">
        <v>1.4612268518518518E-3</v>
      </c>
      <c r="G19" s="17">
        <v>1.4717592592592595E-3</v>
      </c>
      <c r="H19" s="20">
        <v>1.7114583333333333E-3</v>
      </c>
      <c r="I19" s="17" t="s">
        <v>442</v>
      </c>
    </row>
    <row r="20" spans="1:9" ht="19.5" customHeight="1" x14ac:dyDescent="0.4">
      <c r="A20" s="111"/>
      <c r="B20" s="116"/>
      <c r="C20" s="26" t="s">
        <v>29</v>
      </c>
      <c r="D20" s="21">
        <f>IF(OR(D19="-",D19="X"),"-",RANK(D19,($D19:$F19),1))</f>
        <v>2</v>
      </c>
      <c r="E20" s="21">
        <f t="shared" ref="E20:F20" si="3">IF(OR(E19="-",E19="X"),"-",RANK(E19,($D19:$F19),1))</f>
        <v>3</v>
      </c>
      <c r="F20" s="21">
        <f t="shared" si="3"/>
        <v>1</v>
      </c>
      <c r="G20" s="21">
        <f>IF(OR(G19="-",G19="X"),"-",RANK(G19,($G19:$I19),1))</f>
        <v>1</v>
      </c>
      <c r="H20" s="21">
        <f t="shared" ref="H20:I20" si="4">IF(OR(H19="-",H19="X"),"-",RANK(H19,($G19:$I19),1))</f>
        <v>2</v>
      </c>
      <c r="I20" s="21" t="str">
        <f t="shared" si="4"/>
        <v>-</v>
      </c>
    </row>
    <row r="21" spans="1:9" ht="19.5" customHeight="1" x14ac:dyDescent="0.4">
      <c r="A21" s="111"/>
      <c r="B21" s="117"/>
      <c r="C21" s="26" t="s">
        <v>30</v>
      </c>
      <c r="D21" s="21">
        <f>IF(OR(D19="-",D19="X"),LOOKUP(D19,{"-","X"},{0,-2}),CHOOSE(D20,7,5,4,3,2,1,0,0,0,0,0,0,0,0,0,0,0,0))</f>
        <v>5</v>
      </c>
      <c r="E21" s="21">
        <f>IF(OR(E19="-",E19="X"),LOOKUP(E19,{"-","X"},{0,-2}),CHOOSE(E20,7,5,4,3,2,1,0,0,0,0,0,0,0,0,0,0,0,0))</f>
        <v>4</v>
      </c>
      <c r="F21" s="21">
        <f>IF(OR(F19="-",F19="X"),LOOKUP(F19,{"-","X"},{0,-2}),CHOOSE(F20,7,5,4,3,2,1,0,0,0,0,0,0,0,0,0,0,0,0))</f>
        <v>7</v>
      </c>
      <c r="G21" s="21">
        <f>IF(OR(G19="-",G19="X"),LOOKUP(G19,{"-","X"},{0,-2}),CHOOSE(G20,7,5,4,3,2,1,0,0,0,0,0,0,0,0,0,0,0,0))</f>
        <v>7</v>
      </c>
      <c r="H21" s="21">
        <f>IF(OR(H19="-",H19="X"),LOOKUP(H19,{"-","X"},{0,-2}),CHOOSE(H20,7,5,4,3,2,1,0,0,0,0,0,0,0,0,0,0,0,0))</f>
        <v>5</v>
      </c>
      <c r="I21" s="21">
        <f>IF(OR(I19="-",I19="X"),LOOKUP(I19,{"-","X"},{0,-2}),CHOOSE(I20,7,5,4,3,2,1,0,0,0,0,0,0,0,0,0,0,0,0))</f>
        <v>0</v>
      </c>
    </row>
    <row r="22" spans="1:9" ht="19.5" customHeight="1" x14ac:dyDescent="0.4">
      <c r="A22" s="118">
        <v>7</v>
      </c>
      <c r="B22" s="105" t="s">
        <v>31</v>
      </c>
      <c r="C22" s="9" t="s">
        <v>94</v>
      </c>
      <c r="D22" s="7"/>
      <c r="E22" s="2" t="s">
        <v>176</v>
      </c>
      <c r="F22" s="4" t="s">
        <v>167</v>
      </c>
      <c r="G22" s="3" t="s">
        <v>97</v>
      </c>
      <c r="H22" s="4" t="s">
        <v>168</v>
      </c>
      <c r="I22" s="7"/>
    </row>
    <row r="23" spans="1:9" ht="19.5" customHeight="1" x14ac:dyDescent="0.4">
      <c r="A23" s="119"/>
      <c r="B23" s="106"/>
      <c r="C23" s="16" t="s">
        <v>22</v>
      </c>
      <c r="D23" s="7"/>
      <c r="E23" s="18">
        <v>2.135416666666667E-3</v>
      </c>
      <c r="F23" s="19">
        <v>1.4333333333333333E-3</v>
      </c>
      <c r="G23" s="17">
        <v>1.3199074074074074E-3</v>
      </c>
      <c r="H23" s="19">
        <v>1.225E-3</v>
      </c>
      <c r="I23" s="7"/>
    </row>
    <row r="24" spans="1:9" ht="19.5" customHeight="1" x14ac:dyDescent="0.4">
      <c r="A24" s="119"/>
      <c r="B24" s="106"/>
      <c r="C24" s="16" t="s">
        <v>23</v>
      </c>
      <c r="D24" s="7"/>
      <c r="E24" s="21">
        <f>IF(OR(E23="-",E23="X"),"-",RANK(E23,($E23:$H23,$E27:$H27),1))</f>
        <v>7</v>
      </c>
      <c r="F24" s="21">
        <f>IF(OR(F23="-",F23="X"),"-",RANK(F23,($E23:$H23,$E27:$H27),1))</f>
        <v>5</v>
      </c>
      <c r="G24" s="21">
        <f>IF(OR(G23="-",G23="X"),"-",RANK(G23,($E23:$H23,$E27:$H27),1))</f>
        <v>3</v>
      </c>
      <c r="H24" s="21">
        <f>IF(OR(H23="-",H23="X"),"-",RANK(H23,($E23:$H23,$E27:$H27),1))</f>
        <v>2</v>
      </c>
      <c r="I24" s="7"/>
    </row>
    <row r="25" spans="1:9" ht="19.5" customHeight="1" x14ac:dyDescent="0.4">
      <c r="A25" s="119"/>
      <c r="B25" s="106"/>
      <c r="C25" s="16" t="s">
        <v>24</v>
      </c>
      <c r="D25" s="7"/>
      <c r="E25" s="21">
        <f>IF(OR(E23="-",E23="X"),LOOKUP(E23,{"-","X"},{0,-2}),CHOOSE(E24,7,5,4,3,2,1,0,0,0,0,0,0,0,0,0,0,0,0))</f>
        <v>0</v>
      </c>
      <c r="F25" s="21">
        <f>IF(OR(F23="-",F23="X"),LOOKUP(F23,{"-","X"},{0,-2}),CHOOSE(F24,7,5,4,3,2,1,0,0,0,0,0,0,0,0,0,0,0,0))</f>
        <v>2</v>
      </c>
      <c r="G25" s="21">
        <f>IF(OR(G23="-",G23="X"),LOOKUP(G23,{"-","X"},{0,-2}),CHOOSE(G24,7,5,4,3,2,1,0,0,0,0,0,0,0,0,0,0,0,0))</f>
        <v>4</v>
      </c>
      <c r="H25" s="21">
        <f>IF(OR(H23="-",H23="X"),LOOKUP(H23,{"-","X"},{0,-2}),CHOOSE(H24,7,5,4,3,2,1,0,0,0,0,0,0,0,0,0,0,0,0))</f>
        <v>5</v>
      </c>
      <c r="I25" s="7"/>
    </row>
    <row r="26" spans="1:9" ht="19.5" customHeight="1" x14ac:dyDescent="0.4">
      <c r="A26" s="119"/>
      <c r="B26" s="106"/>
      <c r="C26" s="9" t="s">
        <v>95</v>
      </c>
      <c r="D26" s="7"/>
      <c r="E26" s="1" t="s">
        <v>156</v>
      </c>
      <c r="F26" s="3" t="s">
        <v>6</v>
      </c>
      <c r="G26" s="4" t="s">
        <v>96</v>
      </c>
      <c r="H26" s="3" t="s">
        <v>197</v>
      </c>
      <c r="I26" s="7"/>
    </row>
    <row r="27" spans="1:9" ht="19.5" customHeight="1" x14ac:dyDescent="0.4">
      <c r="A27" s="119"/>
      <c r="B27" s="106"/>
      <c r="C27" s="16" t="s">
        <v>22</v>
      </c>
      <c r="D27" s="7"/>
      <c r="E27" s="20">
        <v>1.6756944444444447E-3</v>
      </c>
      <c r="F27" s="17">
        <v>1.1697916666666666E-3</v>
      </c>
      <c r="G27" s="19">
        <v>1.4282407407407406E-3</v>
      </c>
      <c r="H27" s="17" t="s">
        <v>443</v>
      </c>
      <c r="I27" s="7"/>
    </row>
    <row r="28" spans="1:9" ht="19.5" customHeight="1" x14ac:dyDescent="0.4">
      <c r="A28" s="119"/>
      <c r="B28" s="106"/>
      <c r="C28" s="16" t="s">
        <v>23</v>
      </c>
      <c r="D28" s="7"/>
      <c r="E28" s="21">
        <f>IF(OR(E27="-",E27="X"),"-",RANK(E27,($E23:$H23,$E27:$H27),1))</f>
        <v>6</v>
      </c>
      <c r="F28" s="21">
        <f>IF(OR(F27="-",F27="X"),"-",RANK(F27,($E23:$H23,$E27:$H27),1))</f>
        <v>1</v>
      </c>
      <c r="G28" s="21">
        <f>IF(OR(G27="-",G27="X"),"-",RANK(G27,($E23:$H23,$E27:$H27),1))</f>
        <v>4</v>
      </c>
      <c r="H28" s="21" t="str">
        <f>IF(OR(H27="-",H27="X"),"-",RANK(H27,($E23:$H23,$E27:$H27),1))</f>
        <v>-</v>
      </c>
      <c r="I28" s="7"/>
    </row>
    <row r="29" spans="1:9" ht="19.5" customHeight="1" x14ac:dyDescent="0.4">
      <c r="A29" s="119"/>
      <c r="B29" s="107"/>
      <c r="C29" s="16" t="s">
        <v>24</v>
      </c>
      <c r="D29" s="7"/>
      <c r="E29" s="21">
        <f>IF(OR(E27="-",E27="X"),LOOKUP(E27,{"-","X"},{0,-2}),CHOOSE(E28,7,5,4,3,2,1,0,0,0,0,0,0,0,0,0,0,0,0))</f>
        <v>1</v>
      </c>
      <c r="F29" s="21">
        <f>IF(OR(F27="-",F27="X"),LOOKUP(F27,{"-","X"},{0,-2}),CHOOSE(F28,7,5,4,3,2,1,0,0,0,0,0,0,0,0,0,0,0,0))</f>
        <v>7</v>
      </c>
      <c r="G29" s="21">
        <f>IF(OR(G27="-",G27="X"),LOOKUP(G27,{"-","X"},{0,-2}),CHOOSE(G28,7,5,4,3,2,1,0,0,0,0,0,0,0,0,0,0,0,0))</f>
        <v>3</v>
      </c>
      <c r="H29" s="21">
        <f>IF(OR(H27="-",H27="X"),LOOKUP(H27,{"-","X"},{0,-2}),CHOOSE(H28,7,5,4,3,2,1,0,0,0,0,0,0,0,0,0,0,0,0))</f>
        <v>0</v>
      </c>
      <c r="I29" s="7"/>
    </row>
    <row r="30" spans="1:9" ht="19.5" customHeight="1" x14ac:dyDescent="0.4">
      <c r="A30" s="118">
        <v>8</v>
      </c>
      <c r="B30" s="105" t="s">
        <v>7</v>
      </c>
      <c r="C30" s="9" t="s">
        <v>99</v>
      </c>
      <c r="D30" s="2" t="s">
        <v>102</v>
      </c>
      <c r="E30" s="4" t="s">
        <v>103</v>
      </c>
      <c r="F30" s="3" t="s">
        <v>33</v>
      </c>
      <c r="G30" s="2" t="s">
        <v>52</v>
      </c>
      <c r="H30" s="3" t="s">
        <v>100</v>
      </c>
      <c r="I30" s="7"/>
    </row>
    <row r="31" spans="1:9" ht="19.5" customHeight="1" x14ac:dyDescent="0.4">
      <c r="A31" s="119"/>
      <c r="B31" s="106"/>
      <c r="C31" s="16" t="s">
        <v>22</v>
      </c>
      <c r="D31" s="18">
        <v>1.3693287037037035E-3</v>
      </c>
      <c r="E31" s="19">
        <v>1.2905092592592593E-3</v>
      </c>
      <c r="F31" s="17">
        <v>1.2099537037037038E-3</v>
      </c>
      <c r="G31" s="18">
        <v>1.4684027777777777E-3</v>
      </c>
      <c r="H31" s="17" t="s">
        <v>442</v>
      </c>
      <c r="I31" s="7"/>
    </row>
    <row r="32" spans="1:9" ht="19.5" customHeight="1" x14ac:dyDescent="0.4">
      <c r="A32" s="119"/>
      <c r="B32" s="106"/>
      <c r="C32" s="16" t="s">
        <v>23</v>
      </c>
      <c r="D32" s="21">
        <f>IF(OR(D31="-",D31="X"),"-",RANK(D31,($D31:$H31),1))</f>
        <v>3</v>
      </c>
      <c r="E32" s="21">
        <f t="shared" ref="E32:H32" si="5">IF(OR(E31="-",E31="X"),"-",RANK(E31,($D31:$H31),1))</f>
        <v>2</v>
      </c>
      <c r="F32" s="21">
        <f t="shared" si="5"/>
        <v>1</v>
      </c>
      <c r="G32" s="21">
        <f t="shared" si="5"/>
        <v>4</v>
      </c>
      <c r="H32" s="21" t="str">
        <f t="shared" si="5"/>
        <v>-</v>
      </c>
      <c r="I32" s="7"/>
    </row>
    <row r="33" spans="1:10" ht="19.5" customHeight="1" x14ac:dyDescent="0.4">
      <c r="A33" s="119"/>
      <c r="B33" s="107"/>
      <c r="C33" s="16" t="s">
        <v>24</v>
      </c>
      <c r="D33" s="21">
        <f>IF(OR(D31="-",D31="X"),LOOKUP(D31,{"-","X"},{0,-2}),CHOOSE(D32,7,5,4,3,2,1,0,0,0,0,0,0,0,0,0,0,0,0))</f>
        <v>4</v>
      </c>
      <c r="E33" s="21">
        <f t="shared" ref="E33:G33" si="6">IF(E32&lt;=0,0,CHOOSE(E32,7,5,4,3,2,1,0,0,0,0,0,0,0,0,0,0,0,0))</f>
        <v>5</v>
      </c>
      <c r="F33" s="21">
        <f t="shared" si="6"/>
        <v>7</v>
      </c>
      <c r="G33" s="21">
        <f t="shared" si="6"/>
        <v>3</v>
      </c>
      <c r="H33" s="21">
        <f>IF(OR(H31="-",H31="X"),LOOKUP(H31,{"-","X"},{0,-2}),CHOOSE(H32,7,5,4,3,2,1,0,0,0,0,0,0,0,0,0,0,0,0))</f>
        <v>0</v>
      </c>
      <c r="I33" s="7"/>
    </row>
    <row r="34" spans="1:10" ht="19.5" customHeight="1" x14ac:dyDescent="0.4">
      <c r="A34" s="118">
        <v>9</v>
      </c>
      <c r="B34" s="115" t="s">
        <v>34</v>
      </c>
      <c r="C34" s="10" t="s">
        <v>104</v>
      </c>
      <c r="E34" s="2" t="s">
        <v>177</v>
      </c>
      <c r="F34" s="4" t="s">
        <v>169</v>
      </c>
      <c r="G34" s="3" t="s">
        <v>160</v>
      </c>
      <c r="H34" s="7"/>
      <c r="I34" s="7"/>
    </row>
    <row r="35" spans="1:10" ht="19.5" customHeight="1" x14ac:dyDescent="0.4">
      <c r="A35" s="119"/>
      <c r="B35" s="116"/>
      <c r="C35" s="26" t="s">
        <v>28</v>
      </c>
      <c r="D35" s="7"/>
      <c r="E35" s="18">
        <v>1.8674768518518519E-3</v>
      </c>
      <c r="F35" s="19" t="s">
        <v>441</v>
      </c>
      <c r="G35" s="17">
        <v>1.8862268518518518E-3</v>
      </c>
      <c r="H35" s="7"/>
      <c r="I35" s="7"/>
    </row>
    <row r="36" spans="1:10" ht="19.5" customHeight="1" x14ac:dyDescent="0.4">
      <c r="A36" s="119"/>
      <c r="B36" s="116"/>
      <c r="C36" s="26" t="s">
        <v>29</v>
      </c>
      <c r="D36" s="21"/>
      <c r="E36" s="21">
        <f>IF(OR(E35="-",E35="X"),"-",RANK(E35,($E35:$G35,$E39:$H39),1))</f>
        <v>5</v>
      </c>
      <c r="F36" s="21" t="str">
        <f>IF(OR(F35="-",F35="X"),"-",RANK(F35,($E35:$G35,$E39:$H39),1))</f>
        <v>-</v>
      </c>
      <c r="G36" s="21">
        <f>IF(OR(G35="-",G35="X"),"-",RANK(G35,($E35:$G35,$E39:$H39),1))</f>
        <v>6</v>
      </c>
      <c r="H36" s="21"/>
      <c r="I36" s="21"/>
    </row>
    <row r="37" spans="1:10" ht="19.5" customHeight="1" x14ac:dyDescent="0.4">
      <c r="A37" s="119"/>
      <c r="B37" s="116"/>
      <c r="C37" s="26" t="s">
        <v>30</v>
      </c>
      <c r="D37" s="21"/>
      <c r="E37" s="21">
        <f>IF(OR(E35="-",E35="X"),LOOKUP(E35,{"-","X"},{0,-2}),CHOOSE(E36,7,5,4,3,2,1,0,0,0,0,0,0,0,0,0,0,0,0))</f>
        <v>2</v>
      </c>
      <c r="F37" s="21">
        <f>IF(OR(F35="-",F35="X"),LOOKUP(F35,{"-","X"},{0,-2}),CHOOSE(F36,7,5,4,3,2,1,0,0,0,0,0,0,0,0,0,0,0,0))</f>
        <v>0</v>
      </c>
      <c r="G37" s="21">
        <f t="shared" ref="G37" si="7">IF(G36&lt;=0,0,CHOOSE(G36,7,5,4,3,2,1,0,0,0,0,0,0,0,0,0,0,0,0))</f>
        <v>1</v>
      </c>
      <c r="H37" s="21"/>
      <c r="I37" s="21"/>
    </row>
    <row r="38" spans="1:10" ht="19.5" customHeight="1" x14ac:dyDescent="0.4">
      <c r="A38" s="119"/>
      <c r="B38" s="116"/>
      <c r="C38" s="10" t="s">
        <v>107</v>
      </c>
      <c r="D38" s="7"/>
      <c r="E38" s="3" t="s">
        <v>161</v>
      </c>
      <c r="F38" s="4" t="s">
        <v>35</v>
      </c>
      <c r="G38" s="3" t="s">
        <v>162</v>
      </c>
      <c r="H38" s="3" t="s">
        <v>109</v>
      </c>
      <c r="I38" s="7"/>
      <c r="J38"/>
    </row>
    <row r="39" spans="1:10" ht="19.5" customHeight="1" x14ac:dyDescent="0.4">
      <c r="A39" s="119"/>
      <c r="B39" s="116"/>
      <c r="C39" s="26" t="s">
        <v>28</v>
      </c>
      <c r="D39" s="7"/>
      <c r="E39" s="17">
        <v>1.1989583333333333E-3</v>
      </c>
      <c r="F39" s="19">
        <v>1.2738425925925927E-3</v>
      </c>
      <c r="G39" s="17">
        <v>1.6583333333333331E-3</v>
      </c>
      <c r="H39" s="17">
        <v>1.128125E-3</v>
      </c>
      <c r="I39" s="7"/>
      <c r="J39"/>
    </row>
    <row r="40" spans="1:10" ht="19.5" customHeight="1" x14ac:dyDescent="0.4">
      <c r="A40" s="119"/>
      <c r="B40" s="116"/>
      <c r="C40" s="26" t="s">
        <v>29</v>
      </c>
      <c r="D40" s="21"/>
      <c r="E40" s="21">
        <f>IF(OR(E39="-",E39="X"),"-",RANK(E39,($E35:$G35,$E39:$H39),1))</f>
        <v>2</v>
      </c>
      <c r="F40" s="21">
        <f>IF(OR(F39="-",F39="X"),"-",RANK(F39,($E35:$G35,$E39:$H39),1))</f>
        <v>3</v>
      </c>
      <c r="G40" s="21">
        <f>IF(OR(G39="-",G39="X"),"-",RANK(G39,($E35:$G35,$E39:$H39),1))</f>
        <v>4</v>
      </c>
      <c r="H40" s="21">
        <f>IF(OR(H39="-",H39="X"),"-",RANK(H39,($E35:$G35,$E39:$H39),1))</f>
        <v>1</v>
      </c>
      <c r="I40" s="21"/>
      <c r="J40"/>
    </row>
    <row r="41" spans="1:10" ht="19.5" customHeight="1" x14ac:dyDescent="0.4">
      <c r="A41" s="122"/>
      <c r="B41" s="117"/>
      <c r="C41" s="26" t="s">
        <v>30</v>
      </c>
      <c r="D41" s="21"/>
      <c r="E41" s="21">
        <f>IF(OR(E39="-",E39="X"),LOOKUP(E39,{"-","X"},{0,-2}),CHOOSE(E40,7,5,4,3,2,1,0,0,0,0,0,0,0,0,0,0,0,0))</f>
        <v>5</v>
      </c>
      <c r="F41" s="21">
        <f t="shared" ref="F41:H41" si="8">IF(F40&lt;=0,0,CHOOSE(F40,7,5,4,3,2,1,0,0,0,0,0,0,0,0,0,0,0,0))</f>
        <v>4</v>
      </c>
      <c r="G41" s="21">
        <f t="shared" si="8"/>
        <v>3</v>
      </c>
      <c r="H41" s="21">
        <f t="shared" si="8"/>
        <v>7</v>
      </c>
      <c r="I41" s="21"/>
      <c r="J41"/>
    </row>
    <row r="42" spans="1:10" ht="19.5" customHeight="1" x14ac:dyDescent="0.4">
      <c r="A42" s="123" t="s">
        <v>116</v>
      </c>
      <c r="B42" s="105" t="s">
        <v>115</v>
      </c>
      <c r="C42" s="9" t="s">
        <v>110</v>
      </c>
      <c r="D42" s="2" t="s">
        <v>178</v>
      </c>
      <c r="E42" s="4" t="s">
        <v>37</v>
      </c>
      <c r="F42" s="4" t="s">
        <v>165</v>
      </c>
      <c r="G42" s="3" t="s">
        <v>158</v>
      </c>
      <c r="H42" s="4" t="s">
        <v>112</v>
      </c>
      <c r="I42" s="4" t="s">
        <v>113</v>
      </c>
      <c r="J42"/>
    </row>
    <row r="43" spans="1:10" ht="19.5" customHeight="1" x14ac:dyDescent="0.4">
      <c r="A43" s="124"/>
      <c r="B43" s="106"/>
      <c r="C43" s="16" t="s">
        <v>28</v>
      </c>
      <c r="D43" s="18">
        <v>1.5766203703703704E-3</v>
      </c>
      <c r="E43" s="19">
        <v>9.4537037037037029E-4</v>
      </c>
      <c r="F43" s="19">
        <v>1.0991898148148148E-3</v>
      </c>
      <c r="G43" s="17">
        <v>8.8912037037037041E-4</v>
      </c>
      <c r="H43" s="19">
        <v>1.3788194444444444E-3</v>
      </c>
      <c r="I43" s="19">
        <v>1.0615740740740739E-3</v>
      </c>
      <c r="J43"/>
    </row>
    <row r="44" spans="1:10" ht="19.5" customHeight="1" x14ac:dyDescent="0.4">
      <c r="A44" s="124"/>
      <c r="B44" s="106"/>
      <c r="C44" s="16" t="s">
        <v>29</v>
      </c>
      <c r="D44" s="21">
        <f>IF(OR(D43="-",D43="X"),"-",RANK(D43,($D43:$I43,$D47:$E47),1))</f>
        <v>8</v>
      </c>
      <c r="E44" s="21">
        <f>IF(OR(E43="-",E43="X"),"-",RANK(E43,($D43:$I43,$D47:$E47),1))</f>
        <v>3</v>
      </c>
      <c r="F44" s="21">
        <f>IF(OR(F43="-",F43="X"),"-",RANK(F43,($D43:$I43,$D47:$E47),1))</f>
        <v>5</v>
      </c>
      <c r="G44" s="21">
        <f>IF(OR(G43="-",G43="X"),"-",RANK(G43,($D43:$I43,$D47:$E47),1))</f>
        <v>1</v>
      </c>
      <c r="H44" s="21">
        <f>IF(OR(H43="-",H43="X"),"-",RANK(H43,($D43:$I43,$D47:$E47),1))</f>
        <v>7</v>
      </c>
      <c r="I44" s="21">
        <f>IF(OR(I43="-",I43="X"),"-",RANK(I43,($D43:$I43,$D47:$E47),1))</f>
        <v>4</v>
      </c>
      <c r="J44"/>
    </row>
    <row r="45" spans="1:10" ht="19.5" customHeight="1" x14ac:dyDescent="0.4">
      <c r="A45" s="124"/>
      <c r="B45" s="106"/>
      <c r="C45" s="16" t="s">
        <v>30</v>
      </c>
      <c r="D45" s="21">
        <f>IF(OR(D43="-",D43="X"),LOOKUP(D43,{"-","X"},{0,-2}),CHOOSE(D44,7,5,4,3,2,1,0,0,0,0,0,0,0,0,0,0,0,0))</f>
        <v>0</v>
      </c>
      <c r="E45" s="21">
        <f t="shared" ref="E45:I45" si="9">IF(E44&lt;=0,0,CHOOSE(E44,7,5,4,3,2,1,0,0,0,0,0,0,0,0,0,0,0,0))</f>
        <v>4</v>
      </c>
      <c r="F45" s="21">
        <f t="shared" si="9"/>
        <v>2</v>
      </c>
      <c r="G45" s="21">
        <f t="shared" si="9"/>
        <v>7</v>
      </c>
      <c r="H45" s="21">
        <f t="shared" si="9"/>
        <v>0</v>
      </c>
      <c r="I45" s="21">
        <f t="shared" si="9"/>
        <v>3</v>
      </c>
      <c r="J45"/>
    </row>
    <row r="46" spans="1:10" ht="19.5" customHeight="1" x14ac:dyDescent="0.4">
      <c r="A46" s="124"/>
      <c r="B46" s="106"/>
      <c r="C46" s="9" t="s">
        <v>111</v>
      </c>
      <c r="D46" s="4" t="s">
        <v>51</v>
      </c>
      <c r="E46" s="3" t="s">
        <v>38</v>
      </c>
      <c r="F46" s="52" t="s">
        <v>123</v>
      </c>
      <c r="G46" s="47" t="s">
        <v>114</v>
      </c>
      <c r="H46" s="49" t="s">
        <v>58</v>
      </c>
      <c r="I46" s="49" t="s">
        <v>179</v>
      </c>
      <c r="J46"/>
    </row>
    <row r="47" spans="1:10" ht="19.5" customHeight="1" x14ac:dyDescent="0.4">
      <c r="A47" s="124"/>
      <c r="B47" s="106"/>
      <c r="C47" s="16" t="s">
        <v>28</v>
      </c>
      <c r="D47" s="19">
        <v>1.1766203703703702E-3</v>
      </c>
      <c r="E47" s="57">
        <v>9.1111111111111113E-4</v>
      </c>
      <c r="F47" s="19">
        <v>1.0615740740740739E-3</v>
      </c>
      <c r="G47" s="17">
        <v>1.2600694444444445E-3</v>
      </c>
      <c r="H47" s="18">
        <v>9.851851851851853E-4</v>
      </c>
      <c r="I47" s="18">
        <v>1.5291666666666665E-3</v>
      </c>
      <c r="J47"/>
    </row>
    <row r="48" spans="1:10" ht="19.5" customHeight="1" x14ac:dyDescent="0.4">
      <c r="A48" s="124"/>
      <c r="B48" s="106"/>
      <c r="C48" s="16" t="s">
        <v>29</v>
      </c>
      <c r="D48" s="21">
        <f>IF(OR(D47="-",D47="X"),"-",RANK(D47,($D43:$I43,$D47:$E47),1))</f>
        <v>6</v>
      </c>
      <c r="E48" s="21">
        <f>IF(OR(E47="-",E47="X"),"-",RANK(E47,($D43:$I43,$D47:$E47),1))</f>
        <v>2</v>
      </c>
      <c r="F48" s="21">
        <f>IF(OR(F47="-",F47="X"),"-",RANK(F47,($F47:$I47),1))</f>
        <v>2</v>
      </c>
      <c r="G48" s="21">
        <f t="shared" ref="G48:I48" si="10">IF(OR(G47="-",G47="X"),"-",RANK(G47,($F47:$I47),1))</f>
        <v>3</v>
      </c>
      <c r="H48" s="21">
        <f t="shared" si="10"/>
        <v>1</v>
      </c>
      <c r="I48" s="21">
        <f t="shared" si="10"/>
        <v>4</v>
      </c>
      <c r="J48"/>
    </row>
    <row r="49" spans="1:10" ht="19.5" customHeight="1" x14ac:dyDescent="0.4">
      <c r="A49" s="125"/>
      <c r="B49" s="107"/>
      <c r="C49" s="16" t="s">
        <v>30</v>
      </c>
      <c r="D49" s="21">
        <f>IF(OR(D47="-",D47="X"),LOOKUP(D47,{"-","X"},{0,-2}),CHOOSE(D48,7,5,4,3,2,1,0,0,0,0,0,0,0,0,0,0,0,0))</f>
        <v>1</v>
      </c>
      <c r="E49" s="21">
        <f t="shared" ref="E49:I49" si="11">IF(E48&lt;=0,0,CHOOSE(E48,7,5,4,3,2,1,0,0,0,0,0,0,0,0,0,0,0,0))</f>
        <v>5</v>
      </c>
      <c r="F49" s="21">
        <f t="shared" si="11"/>
        <v>5</v>
      </c>
      <c r="G49" s="21">
        <f t="shared" si="11"/>
        <v>4</v>
      </c>
      <c r="H49" s="21">
        <f t="shared" si="11"/>
        <v>7</v>
      </c>
      <c r="I49" s="21">
        <f t="shared" si="11"/>
        <v>3</v>
      </c>
      <c r="J49"/>
    </row>
    <row r="50" spans="1:10" ht="19.5" customHeight="1" x14ac:dyDescent="0.4">
      <c r="A50" s="118">
        <v>12</v>
      </c>
      <c r="B50" s="128" t="s">
        <v>117</v>
      </c>
      <c r="C50" s="11" t="s">
        <v>118</v>
      </c>
      <c r="D50" s="7"/>
      <c r="E50" s="1" t="s">
        <v>74</v>
      </c>
      <c r="F50" s="2" t="s">
        <v>75</v>
      </c>
      <c r="G50" s="4" t="s">
        <v>76</v>
      </c>
      <c r="H50" s="13" t="s">
        <v>77</v>
      </c>
      <c r="I50" s="21"/>
      <c r="J50"/>
    </row>
    <row r="51" spans="1:10" ht="19.5" customHeight="1" x14ac:dyDescent="0.4">
      <c r="A51" s="119"/>
      <c r="B51" s="129"/>
      <c r="C51" s="31" t="s">
        <v>28</v>
      </c>
      <c r="D51" s="24"/>
      <c r="E51" s="20">
        <v>2.7901620370370367E-3</v>
      </c>
      <c r="F51" s="18">
        <v>2.5571759259259258E-3</v>
      </c>
      <c r="G51" s="19">
        <v>1.984259259259259E-3</v>
      </c>
      <c r="H51" s="17">
        <v>1.9042824074074075E-3</v>
      </c>
      <c r="I51" s="21"/>
      <c r="J51"/>
    </row>
    <row r="52" spans="1:10" ht="19.5" customHeight="1" x14ac:dyDescent="0.4">
      <c r="A52" s="126"/>
      <c r="B52" s="129"/>
      <c r="C52" s="31" t="s">
        <v>29</v>
      </c>
      <c r="D52" s="21"/>
      <c r="E52" s="21">
        <f>IF(OR(E51="-",E51="X"),"-",RANK(E51,($E51:$H51),1))</f>
        <v>4</v>
      </c>
      <c r="F52" s="21">
        <f t="shared" ref="F52:H52" si="12">IF(OR(F51="-",F51="X"),"-",RANK(F51,($E51:$H51),1))</f>
        <v>3</v>
      </c>
      <c r="G52" s="21">
        <f t="shared" si="12"/>
        <v>2</v>
      </c>
      <c r="H52" s="21">
        <f t="shared" si="12"/>
        <v>1</v>
      </c>
      <c r="I52" s="21"/>
      <c r="J52"/>
    </row>
    <row r="53" spans="1:10" ht="19.5" customHeight="1" x14ac:dyDescent="0.4">
      <c r="A53" s="127"/>
      <c r="B53" s="130"/>
      <c r="C53" s="31" t="s">
        <v>30</v>
      </c>
      <c r="D53" s="21"/>
      <c r="E53" s="21">
        <f>IF(OR(E51="-",E51="X"),LOOKUP(E51,{"-","X"},{0,-2}),CHOOSE(E52,7,5,4,3,2,1,0,0,0,0,0,0,0,0,0,0,0,0))</f>
        <v>3</v>
      </c>
      <c r="F53" s="21">
        <v>16</v>
      </c>
      <c r="G53" s="21">
        <v>10</v>
      </c>
      <c r="H53" s="21">
        <v>21</v>
      </c>
      <c r="I53" s="21"/>
      <c r="J53"/>
    </row>
    <row r="54" spans="1:10" ht="19.5" customHeight="1" x14ac:dyDescent="0.4">
      <c r="A54" s="118">
        <v>13</v>
      </c>
      <c r="B54" s="128" t="s">
        <v>0</v>
      </c>
      <c r="C54" s="11" t="s">
        <v>119</v>
      </c>
      <c r="D54" s="24"/>
      <c r="E54" s="13" t="s">
        <v>77</v>
      </c>
      <c r="F54" s="2" t="s">
        <v>75</v>
      </c>
      <c r="G54" s="4" t="s">
        <v>76</v>
      </c>
      <c r="H54" s="25"/>
      <c r="I54" s="21"/>
      <c r="J54"/>
    </row>
    <row r="55" spans="1:10" ht="19.5" customHeight="1" x14ac:dyDescent="0.4">
      <c r="A55" s="119"/>
      <c r="B55" s="129"/>
      <c r="C55" s="31" t="s">
        <v>28</v>
      </c>
      <c r="D55" s="24"/>
      <c r="E55" s="17">
        <v>1.5383101851851851E-3</v>
      </c>
      <c r="F55" s="18">
        <v>2.5282407407407411E-3</v>
      </c>
      <c r="G55" s="19">
        <v>2.2149305555555555E-3</v>
      </c>
      <c r="H55" s="25"/>
      <c r="I55" s="21"/>
      <c r="J55"/>
    </row>
    <row r="56" spans="1:10" ht="19.5" customHeight="1" x14ac:dyDescent="0.4">
      <c r="A56" s="126"/>
      <c r="B56" s="129"/>
      <c r="C56" s="31" t="s">
        <v>29</v>
      </c>
      <c r="D56" s="21"/>
      <c r="E56" s="21">
        <f>IF(OR(E55="-",E55="X"),"-",RANK(E55,($E55:$H55),1))</f>
        <v>1</v>
      </c>
      <c r="F56" s="21">
        <f t="shared" ref="F56:G56" si="13">IF(OR(F55="-",F55="X"),"-",RANK(F55,($E55:$H55),1))</f>
        <v>3</v>
      </c>
      <c r="G56" s="21">
        <f t="shared" si="13"/>
        <v>2</v>
      </c>
      <c r="H56" s="21"/>
      <c r="I56" s="21"/>
      <c r="J56"/>
    </row>
    <row r="57" spans="1:10" ht="19.5" customHeight="1" x14ac:dyDescent="0.4">
      <c r="A57" s="127"/>
      <c r="B57" s="130"/>
      <c r="C57" s="31" t="s">
        <v>30</v>
      </c>
      <c r="D57" s="21"/>
      <c r="E57" s="21">
        <f>IF(OR(E55="-",E55="X"),LOOKUP(E55,{"-","X"},{0,-2}),CHOOSE(E56,14,10,8,6,4,2,0,0,0,0,0,0,0,0,0,0,0,0))</f>
        <v>14</v>
      </c>
      <c r="F57" s="21">
        <f>IF(OR(F55="-",F55="X"),LOOKUP(F55,{"-","X"},{0,-2}),CHOOSE(F56,14,10,8,6,4,2,0,0,0,0,0,0,0,0,0,0,0,0))</f>
        <v>8</v>
      </c>
      <c r="G57" s="21">
        <f>IF(OR(G55="-",G55="X"),LOOKUP(G55,{"-","X"},{0,-2}),CHOOSE(G56,14,10,8,6,4,2,0,0,0,0,0,0,0,0,0,0,0,0))</f>
        <v>10</v>
      </c>
      <c r="H57" s="21"/>
      <c r="I57" s="21"/>
      <c r="J57"/>
    </row>
    <row r="58" spans="1:10" ht="19.5" customHeight="1" x14ac:dyDescent="0.4">
      <c r="A58" s="131" t="s">
        <v>39</v>
      </c>
      <c r="B58" s="132"/>
      <c r="C58" s="132"/>
      <c r="D58" s="132"/>
      <c r="E58" s="133"/>
      <c r="F58" s="133"/>
      <c r="G58" s="133"/>
      <c r="H58" s="133"/>
      <c r="I58" s="132"/>
      <c r="J58"/>
    </row>
    <row r="59" spans="1:10" ht="19.5" customHeight="1" x14ac:dyDescent="0.4">
      <c r="A59" s="120" t="s">
        <v>126</v>
      </c>
      <c r="B59" s="112" t="s">
        <v>121</v>
      </c>
      <c r="C59" s="45" t="s">
        <v>120</v>
      </c>
      <c r="D59" s="4" t="s">
        <v>166</v>
      </c>
      <c r="E59" s="2" t="s">
        <v>88</v>
      </c>
      <c r="F59" s="3" t="s">
        <v>162</v>
      </c>
      <c r="G59" s="2" t="s">
        <v>180</v>
      </c>
      <c r="H59" s="3" t="s">
        <v>161</v>
      </c>
      <c r="I59" s="2" t="s">
        <v>181</v>
      </c>
      <c r="J59"/>
    </row>
    <row r="60" spans="1:10" ht="19.5" customHeight="1" x14ac:dyDescent="0.4">
      <c r="A60" s="121"/>
      <c r="B60" s="113"/>
      <c r="C60" s="46" t="s">
        <v>28</v>
      </c>
      <c r="D60" s="61">
        <v>1.4094907407407407E-3</v>
      </c>
      <c r="E60" s="60">
        <v>6.6412037037037036E-4</v>
      </c>
      <c r="F60" s="17">
        <v>7.9398148148148145E-4</v>
      </c>
      <c r="G60" s="18">
        <v>7.104166666666666E-4</v>
      </c>
      <c r="H60" s="17">
        <v>6.0983796296296296E-4</v>
      </c>
      <c r="I60" s="18">
        <v>6.4814814814814813E-4</v>
      </c>
      <c r="J60"/>
    </row>
    <row r="61" spans="1:10" ht="19.5" customHeight="1" x14ac:dyDescent="0.4">
      <c r="A61" s="121"/>
      <c r="B61" s="113"/>
      <c r="C61" s="46" t="s">
        <v>29</v>
      </c>
      <c r="D61" s="21">
        <f>IF(OR(D60="-",D60="X"),"-",RANK(D60,($D60:$I60, $D64),1))</f>
        <v>7</v>
      </c>
      <c r="E61" s="21">
        <f>IF(OR(E60="-",E60="X"),"-",RANK(E60,($D60:$I60, $D64),1))</f>
        <v>4</v>
      </c>
      <c r="F61" s="21">
        <f>IF(OR(F60="-",F60="X"),"-",RANK(F60,($D60:$I60, $D64),1))</f>
        <v>6</v>
      </c>
      <c r="G61" s="21">
        <f>IF(OR(G60="-",G60="X"),"-",RANK(G60,($D60:$I60, $D64),1))</f>
        <v>5</v>
      </c>
      <c r="H61" s="21">
        <f>IF(OR(H60="-",H60="X"),"-",RANK(H60,($D60:$I60, $D64),1))</f>
        <v>2</v>
      </c>
      <c r="I61" s="21">
        <f>IF(OR(I60="-",I60="X"),"-",RANK(I60,($D60:$I60, $D64),1))</f>
        <v>3</v>
      </c>
      <c r="J61"/>
    </row>
    <row r="62" spans="1:10" ht="19.5" customHeight="1" x14ac:dyDescent="0.4">
      <c r="A62" s="121"/>
      <c r="B62" s="113"/>
      <c r="C62" s="46" t="s">
        <v>30</v>
      </c>
      <c r="D62" s="21">
        <f>IF(OR(D60="-",D60="X"),LOOKUP(D60,{"-","X"},{0,-2}),CHOOSE(D61,7,5,4,3,2,1,0,0,0,0,0,0,0,0,0,0,0,0))</f>
        <v>0</v>
      </c>
      <c r="E62" s="21">
        <f>IF(E61&lt;=0,0,CHOOSE(E61,7,5,4,3,2,1,0,0,0,0,0,0,0,0,0,0,0,0))</f>
        <v>3</v>
      </c>
      <c r="F62" s="21">
        <f t="shared" ref="E62:I62" si="14">IF(F61&lt;=0,0,CHOOSE(F61,7,5,4,3,2,1,0,0,0,0,0,0,0,0,0,0,0,0))</f>
        <v>1</v>
      </c>
      <c r="G62" s="21">
        <f t="shared" si="14"/>
        <v>2</v>
      </c>
      <c r="H62" s="21">
        <f t="shared" si="14"/>
        <v>5</v>
      </c>
      <c r="I62" s="21">
        <f t="shared" si="14"/>
        <v>4</v>
      </c>
      <c r="J62"/>
    </row>
    <row r="63" spans="1:10" ht="19.5" customHeight="1" x14ac:dyDescent="0.4">
      <c r="A63" s="121"/>
      <c r="B63" s="113"/>
      <c r="C63" s="45" t="s">
        <v>127</v>
      </c>
      <c r="D63" s="28" t="s">
        <v>122</v>
      </c>
      <c r="E63" s="54" t="s">
        <v>125</v>
      </c>
      <c r="F63" s="47" t="s">
        <v>89</v>
      </c>
      <c r="G63" s="54" t="s">
        <v>83</v>
      </c>
      <c r="H63" s="53" t="s">
        <v>40</v>
      </c>
      <c r="I63" s="48" t="s">
        <v>124</v>
      </c>
      <c r="J63"/>
    </row>
    <row r="64" spans="1:10" ht="19.5" customHeight="1" x14ac:dyDescent="0.4">
      <c r="A64" s="121"/>
      <c r="B64" s="113"/>
      <c r="C64" s="46" t="s">
        <v>28</v>
      </c>
      <c r="D64" s="27">
        <v>5.7511574074074073E-4</v>
      </c>
      <c r="E64" s="20">
        <v>5.5370370370370371E-4</v>
      </c>
      <c r="F64" s="17">
        <v>5.6064814814814812E-4</v>
      </c>
      <c r="G64" s="20">
        <v>5.4537037037037043E-4</v>
      </c>
      <c r="H64" s="18">
        <v>5.6469907407407413E-4</v>
      </c>
      <c r="I64" s="19">
        <v>6.2581018518518519E-4</v>
      </c>
      <c r="J64"/>
    </row>
    <row r="65" spans="1:10" ht="19.5" customHeight="1" x14ac:dyDescent="0.4">
      <c r="A65" s="121"/>
      <c r="B65" s="113"/>
      <c r="C65" s="46" t="s">
        <v>29</v>
      </c>
      <c r="D65" s="21">
        <f>IF(OR(D64="-",D64="X"),"-",RANK(D64,($D60:$I60, $D64),1))</f>
        <v>1</v>
      </c>
      <c r="E65" s="21">
        <f>IF(OR(E64="-",E64="X"),"-",RANK(E64,($E64:$G64),1))</f>
        <v>2</v>
      </c>
      <c r="F65" s="21">
        <f t="shared" ref="F65:G65" si="15">IF(OR(F64="-",F64="X"),"-",RANK(F64,($E64:$G64),1))</f>
        <v>3</v>
      </c>
      <c r="G65" s="21">
        <f t="shared" si="15"/>
        <v>1</v>
      </c>
      <c r="H65" s="21">
        <f>IF(OR(H64="-",H64="X"),"-",RANK(H64,($H64:$I64),1))</f>
        <v>1</v>
      </c>
      <c r="I65" s="21">
        <f>IF(OR(I64="-",I64="X"),"-",RANK(I64,($H64:$I64),1))</f>
        <v>2</v>
      </c>
      <c r="J65"/>
    </row>
    <row r="66" spans="1:10" ht="19.5" customHeight="1" x14ac:dyDescent="0.4">
      <c r="A66" s="134"/>
      <c r="B66" s="114"/>
      <c r="C66" s="46" t="s">
        <v>30</v>
      </c>
      <c r="D66" s="21">
        <f>IF(OR(D64="-",D64="X"),LOOKUP(D64,{"-","X"},{0,-2}),CHOOSE(D65,7,5,4,3,2,1,0,0,0,0,0,0,0,0,0,0,0,0))</f>
        <v>7</v>
      </c>
      <c r="E66" s="21">
        <f t="shared" ref="E66:I66" si="16">IF(E65&lt;=0,0,CHOOSE(E65,7,5,4,3,2,1,0,0,0,0,0,0,0,0,0,0,0,0))</f>
        <v>5</v>
      </c>
      <c r="F66" s="21">
        <f t="shared" si="16"/>
        <v>4</v>
      </c>
      <c r="G66" s="21">
        <f t="shared" si="16"/>
        <v>7</v>
      </c>
      <c r="H66" s="21">
        <f>IF(H65&lt;=0,0,CHOOSE(H65,7,5,4,3,2,1,0,0,0,0,0,0,0,0,0,0,0,0))</f>
        <v>7</v>
      </c>
      <c r="I66" s="21">
        <f t="shared" si="16"/>
        <v>5</v>
      </c>
      <c r="J66"/>
    </row>
    <row r="67" spans="1:10" ht="19.5" customHeight="1" x14ac:dyDescent="0.4">
      <c r="A67" s="120">
        <v>17</v>
      </c>
      <c r="B67" s="115" t="s">
        <v>41</v>
      </c>
      <c r="C67" s="10" t="s">
        <v>42</v>
      </c>
      <c r="D67" s="7"/>
      <c r="E67" s="2" t="s">
        <v>180</v>
      </c>
      <c r="F67" s="1" t="s">
        <v>27</v>
      </c>
      <c r="G67" s="2" t="s">
        <v>43</v>
      </c>
      <c r="H67" s="3" t="s">
        <v>91</v>
      </c>
      <c r="I67" s="7"/>
      <c r="J67"/>
    </row>
    <row r="68" spans="1:10" ht="19.5" customHeight="1" x14ac:dyDescent="0.4">
      <c r="A68" s="121"/>
      <c r="B68" s="116"/>
      <c r="C68" s="26" t="s">
        <v>28</v>
      </c>
      <c r="D68" s="7"/>
      <c r="E68" s="18">
        <v>1.0343749999999999E-3</v>
      </c>
      <c r="F68" s="20">
        <v>6.4421296296296297E-4</v>
      </c>
      <c r="G68" s="18" t="s">
        <v>442</v>
      </c>
      <c r="H68" s="17">
        <v>7.5127314814814816E-4</v>
      </c>
      <c r="I68" s="7"/>
      <c r="J68"/>
    </row>
    <row r="69" spans="1:10" ht="19.5" customHeight="1" x14ac:dyDescent="0.4">
      <c r="A69" s="121"/>
      <c r="B69" s="116"/>
      <c r="C69" s="26" t="s">
        <v>29</v>
      </c>
      <c r="D69" s="21"/>
      <c r="E69" s="21">
        <f>IF(OR(E68="-",E68="X"),"-",RANK(E68,($E68:$H68),1))</f>
        <v>3</v>
      </c>
      <c r="F69" s="21">
        <f t="shared" ref="F69:H69" si="17">IF(OR(F68="-",F68="X"),"-",RANK(F68,($E68:$H68),1))</f>
        <v>1</v>
      </c>
      <c r="G69" s="21" t="str">
        <f t="shared" si="17"/>
        <v>-</v>
      </c>
      <c r="H69" s="21">
        <f t="shared" si="17"/>
        <v>2</v>
      </c>
      <c r="I69" s="21"/>
      <c r="J69"/>
    </row>
    <row r="70" spans="1:10" ht="19.5" customHeight="1" x14ac:dyDescent="0.4">
      <c r="A70" s="121"/>
      <c r="B70" s="117"/>
      <c r="C70" s="26" t="s">
        <v>30</v>
      </c>
      <c r="D70" s="21"/>
      <c r="E70" s="21">
        <f>IF(OR(E68="-",E68="X"),LOOKUP(E68,{"-","X"},{0,-2}),CHOOSE(E69,7,5,4,3,2,1,0,0,0,0,0,0,0,0,0,0,0,0))</f>
        <v>4</v>
      </c>
      <c r="F70" s="21">
        <f>IF(OR(F68="-",F68="X"),LOOKUP(F68,{"-","X"},{0,-2}),CHOOSE(F69,7,5,4,3,2,1,0,0,0,0,0,0,0,0,0,0,0,0))</f>
        <v>7</v>
      </c>
      <c r="G70" s="21">
        <f>IF(OR(G68="-",G68="X"),LOOKUP(G68,{"-","X"},{0,-2}),CHOOSE(G69,7,5,4,3,2,1,0,0,0,0,0,0,0,0,0,0,0,0))</f>
        <v>0</v>
      </c>
      <c r="H70" s="21">
        <f>IF(OR(H68="-",H68="X"),LOOKUP(H68,{"-","X"},{0,-2}),CHOOSE(H69,7,5,4,3,2,1,0,0,0,0,0,0,0,0,0,0,0,0))</f>
        <v>5</v>
      </c>
      <c r="I70" s="21"/>
      <c r="J70"/>
    </row>
    <row r="71" spans="1:10" ht="19.5" customHeight="1" x14ac:dyDescent="0.4">
      <c r="A71" s="118">
        <v>18</v>
      </c>
      <c r="B71" s="115" t="s">
        <v>45</v>
      </c>
      <c r="C71" s="10" t="s">
        <v>44</v>
      </c>
      <c r="D71" s="2" t="s">
        <v>129</v>
      </c>
      <c r="E71" s="3" t="s">
        <v>159</v>
      </c>
      <c r="F71" s="1" t="s">
        <v>48</v>
      </c>
      <c r="G71" s="2" t="s">
        <v>47</v>
      </c>
      <c r="H71" s="3" t="s">
        <v>128</v>
      </c>
      <c r="I71" s="7"/>
      <c r="J71"/>
    </row>
    <row r="72" spans="1:10" ht="19.5" customHeight="1" x14ac:dyDescent="0.4">
      <c r="A72" s="119"/>
      <c r="B72" s="116"/>
      <c r="C72" s="26" t="s">
        <v>28</v>
      </c>
      <c r="D72" s="18">
        <v>1.1017361111111111E-3</v>
      </c>
      <c r="E72" s="17" t="s">
        <v>441</v>
      </c>
      <c r="F72" s="20">
        <v>7.7939814814814809E-4</v>
      </c>
      <c r="G72" s="18" t="s">
        <v>441</v>
      </c>
      <c r="H72" s="17">
        <v>7.1689814814814804E-4</v>
      </c>
      <c r="I72" s="7"/>
      <c r="J72"/>
    </row>
    <row r="73" spans="1:10" ht="19.5" customHeight="1" x14ac:dyDescent="0.4">
      <c r="A73" s="119"/>
      <c r="B73" s="116"/>
      <c r="C73" s="26" t="s">
        <v>29</v>
      </c>
      <c r="D73" s="21">
        <f>IF(OR(D72="-",D72="X"),"-",RANK(D72,($D72:$H72),1))</f>
        <v>3</v>
      </c>
      <c r="E73" s="21" t="str">
        <f t="shared" ref="E73:H73" si="18">IF(OR(E72="-",E72="X"),"-",RANK(E72,($D72:$H72),1))</f>
        <v>-</v>
      </c>
      <c r="F73" s="21">
        <f t="shared" si="18"/>
        <v>2</v>
      </c>
      <c r="G73" s="21" t="str">
        <f t="shared" si="18"/>
        <v>-</v>
      </c>
      <c r="H73" s="21">
        <f t="shared" si="18"/>
        <v>1</v>
      </c>
      <c r="I73" s="21"/>
      <c r="J73"/>
    </row>
    <row r="74" spans="1:10" ht="19.5" customHeight="1" x14ac:dyDescent="0.4">
      <c r="A74" s="122"/>
      <c r="B74" s="117"/>
      <c r="C74" s="26" t="s">
        <v>30</v>
      </c>
      <c r="D74" s="21">
        <f>IF(OR(D72="-",D72="X"),LOOKUP(D72,{"-","X"},{0,-2}),CHOOSE(D73,7,5,4,3,2,1,0,0,0,0,0,0,0,0,0,0,0,0))</f>
        <v>4</v>
      </c>
      <c r="E74" s="21">
        <f>IF(OR(E72="-",E72="X"),LOOKUP(E72,{"-","X"},{0,-2}),CHOOSE(E73,7,5,4,3,2,1,0,0,0,0,0,0,0,0,0,0,0,0))</f>
        <v>0</v>
      </c>
      <c r="F74" s="21">
        <f>IF(OR(F72="-",F72="X"),LOOKUP(F72,{"-","X"},{0,-2}),CHOOSE(F73,7,5,4,3,2,1,0,0,0,0,0,0,0,0,0,0,0,0))</f>
        <v>5</v>
      </c>
      <c r="G74" s="21">
        <f>IF(OR(G72="-",G72="X"),LOOKUP(G72,{"-","X"},{0,-2}),CHOOSE(G73,7,5,4,3,2,1,0,0,0,0,0,0,0,0,0,0,0,0))</f>
        <v>0</v>
      </c>
      <c r="H74" s="21">
        <f>IF(OR(H72="-",H72="X"),LOOKUP(H72,{"-","X"},{0,-2}),CHOOSE(H73,7,5,4,3,2,1,0,0,0,0,0,0,0,0,0,0,0,0))</f>
        <v>7</v>
      </c>
      <c r="I74" s="21"/>
      <c r="J74"/>
    </row>
    <row r="75" spans="1:10" ht="19.5" customHeight="1" x14ac:dyDescent="0.4">
      <c r="A75" s="120">
        <v>19</v>
      </c>
      <c r="B75" s="135" t="s">
        <v>49</v>
      </c>
      <c r="C75" s="9" t="s">
        <v>46</v>
      </c>
      <c r="D75" s="1" t="s">
        <v>32</v>
      </c>
      <c r="E75" s="2" t="s">
        <v>132</v>
      </c>
      <c r="F75" s="4" t="s">
        <v>96</v>
      </c>
      <c r="G75" s="3" t="s">
        <v>163</v>
      </c>
      <c r="H75" s="2" t="s">
        <v>176</v>
      </c>
      <c r="I75" s="4" t="s">
        <v>168</v>
      </c>
      <c r="J75"/>
    </row>
    <row r="76" spans="1:10" ht="19.5" customHeight="1" x14ac:dyDescent="0.4">
      <c r="A76" s="121"/>
      <c r="B76" s="136"/>
      <c r="C76" s="16" t="s">
        <v>28</v>
      </c>
      <c r="D76" s="20">
        <v>6.9328703703703696E-4</v>
      </c>
      <c r="E76" s="18">
        <v>6.9293981481481474E-4</v>
      </c>
      <c r="F76" s="19">
        <v>6.5324074074074069E-4</v>
      </c>
      <c r="G76" s="17">
        <v>5.6064814814814812E-4</v>
      </c>
      <c r="H76" s="18" t="s">
        <v>441</v>
      </c>
      <c r="I76" s="19">
        <v>5.3819444444444444E-4</v>
      </c>
      <c r="J76"/>
    </row>
    <row r="77" spans="1:10" ht="19.5" customHeight="1" x14ac:dyDescent="0.4">
      <c r="A77" s="121"/>
      <c r="B77" s="136"/>
      <c r="C77" s="16" t="s">
        <v>29</v>
      </c>
      <c r="D77" s="21">
        <f>IF(OR(D76="-",D76="X"),"-",RANK(D76,($D76:$I76,$D80:$H80),1))</f>
        <v>9</v>
      </c>
      <c r="E77" s="21">
        <f>IF(OR(E76="-",E76="X"),"-",RANK(E76,($D76:$I76,$D80:$H80),1))</f>
        <v>8</v>
      </c>
      <c r="F77" s="21">
        <f>IF(OR(F76="-",F76="X"),"-",RANK(F76,($D76:$I76,$D80:$H80),1))</f>
        <v>6</v>
      </c>
      <c r="G77" s="21">
        <f>IF(OR(G76="-",G76="X"),"-",RANK(G76,($D76:$I76,$D80:$H80),1))</f>
        <v>3</v>
      </c>
      <c r="H77" s="21" t="str">
        <f>IF(OR(H76="-",H76="X"),"-",RANK(H76,($D76:$I76,$D80:$H80),1))</f>
        <v>-</v>
      </c>
      <c r="I77" s="21">
        <f>IF(OR(I76="-",I76="X"),"-",RANK(I76,($D76:$I76,$D80:$H80),1))</f>
        <v>1</v>
      </c>
      <c r="J77"/>
    </row>
    <row r="78" spans="1:10" ht="19.5" customHeight="1" x14ac:dyDescent="0.4">
      <c r="A78" s="121"/>
      <c r="B78" s="136"/>
      <c r="C78" s="16" t="s">
        <v>30</v>
      </c>
      <c r="D78" s="21">
        <f>IF(OR(D76="-",D76="X"),LOOKUP(D76,{"-","X"},{0,-2}),CHOOSE(D77,7,5,4,3,2,1,0,0,0,0,0,0,0,0,0,0,0,0))</f>
        <v>0</v>
      </c>
      <c r="E78" s="21">
        <f>IF(OR(E76="-",E76="X"),LOOKUP(E76,{"-","X"},{0,-2}),CHOOSE(E77,7,5,4,3,2,1,0,0,0,0,0,0,0,0,0,0,0,0))</f>
        <v>0</v>
      </c>
      <c r="F78" s="21">
        <f>IF(OR(F76="-",F76="X"),LOOKUP(F76,{"-","X"},{0,-2}),CHOOSE(F77,7,5,4,3,2,1,0,0,0,0,0,0,0,0,0,0,0,0))</f>
        <v>1</v>
      </c>
      <c r="G78" s="21">
        <f>IF(OR(G76="-",G76="X"),LOOKUP(G76,{"-","X"},{0,-2}),CHOOSE(G77,7,5,4,3,2,1,0,0,0,0,0,0,0,0,0,0,0,0))</f>
        <v>4</v>
      </c>
      <c r="H78" s="21">
        <f>IF(OR(H76="-",H76="X"),LOOKUP(H76,{"-","X"},{0,-2}),CHOOSE(H77,7,5,4,3,2,1,0,0,0,0,0,0,0,0,0,0,0,0))</f>
        <v>0</v>
      </c>
      <c r="I78" s="21">
        <f t="shared" ref="I78" si="19">IF(I77&lt;=0,0,CHOOSE(I77,7,5,4,3,2,1,0,0,0,0,0,0,0,0,0,0,0,0))</f>
        <v>7</v>
      </c>
      <c r="J78"/>
    </row>
    <row r="79" spans="1:10" ht="19.5" customHeight="1" x14ac:dyDescent="0.4">
      <c r="A79" s="121"/>
      <c r="B79" s="136"/>
      <c r="C79" s="9" t="s">
        <v>50</v>
      </c>
      <c r="D79" s="3" t="s">
        <v>6</v>
      </c>
      <c r="E79" s="2" t="s">
        <v>53</v>
      </c>
      <c r="F79" s="4" t="s">
        <v>167</v>
      </c>
      <c r="G79" s="2" t="s">
        <v>133</v>
      </c>
      <c r="H79" s="3" t="s">
        <v>196</v>
      </c>
      <c r="I79" s="7"/>
      <c r="J79"/>
    </row>
    <row r="80" spans="1:10" ht="19.5" customHeight="1" x14ac:dyDescent="0.4">
      <c r="A80" s="121"/>
      <c r="B80" s="136"/>
      <c r="C80" s="16" t="s">
        <v>28</v>
      </c>
      <c r="D80" s="17">
        <v>5.5983796296296294E-4</v>
      </c>
      <c r="E80" s="18">
        <v>6.677083333333332E-4</v>
      </c>
      <c r="F80" s="19">
        <v>6.5138888888888896E-4</v>
      </c>
      <c r="G80" s="18">
        <v>6.3078703703703702E-4</v>
      </c>
      <c r="H80" s="17" t="s">
        <v>441</v>
      </c>
      <c r="I80" s="7"/>
      <c r="J80"/>
    </row>
    <row r="81" spans="1:10" ht="19.5" customHeight="1" x14ac:dyDescent="0.4">
      <c r="A81" s="121"/>
      <c r="B81" s="136"/>
      <c r="C81" s="16" t="s">
        <v>29</v>
      </c>
      <c r="D81" s="21">
        <f>IF(OR(D80="-",D80="X"),"-",RANK(D80,($D76:$I76,$D80:$H80),1))</f>
        <v>2</v>
      </c>
      <c r="E81" s="21">
        <f>IF(OR(E80="-",E80="X"),"-",RANK(E80,($D76:$I76,$D80:$H80),1))</f>
        <v>7</v>
      </c>
      <c r="F81" s="21">
        <f>IF(OR(F80="-",F80="X"),"-",RANK(F80,($D76:$I76,$D80:$H80),1))</f>
        <v>5</v>
      </c>
      <c r="G81" s="21">
        <f>IF(OR(G80="-",G80="X"),"-",RANK(G80,($D76:$I76,$D80:$H80),1))</f>
        <v>4</v>
      </c>
      <c r="H81" s="21" t="str">
        <f>IF(OR(H80="-",H80="X"),"-",RANK(H80,($D76:$I76,$D80:$H80),1))</f>
        <v>-</v>
      </c>
      <c r="I81" s="21"/>
      <c r="J81"/>
    </row>
    <row r="82" spans="1:10" ht="19.5" customHeight="1" x14ac:dyDescent="0.4">
      <c r="A82" s="134"/>
      <c r="B82" s="137"/>
      <c r="C82" s="16" t="s">
        <v>30</v>
      </c>
      <c r="D82" s="21">
        <f>IF(OR(D80="-",D80="X"),LOOKUP(D80,{"-","X"},{0,-2}),CHOOSE(D81,7,5,4,3,2,1,0,0,0,0,0,0,0,0,0,0,0,0))</f>
        <v>5</v>
      </c>
      <c r="E82" s="21">
        <f>IF(OR(E80="-",E80="X"),LOOKUP(E80,{"-","X"},{0,-2}),CHOOSE(E81,7,5,4,3,2,1,0,0,0,0,0,0,0,0,0,0,0,0))</f>
        <v>0</v>
      </c>
      <c r="F82" s="21">
        <f>IF(OR(F80="-",F80="X"),LOOKUP(F80,{"-","X"},{0,-2}),CHOOSE(F81,7,5,4,3,2,1,0,0,0,0,0,0,0,0,0,0,0,0))</f>
        <v>2</v>
      </c>
      <c r="G82" s="21">
        <f>IF(OR(G80="-",G80="X"),LOOKUP(G80,{"-","X"},{0,-2}),CHOOSE(G81,7,5,4,3,2,1,0,0,0,0,0,0,0,0,0,0,0,0))</f>
        <v>3</v>
      </c>
      <c r="H82" s="21">
        <f>IF(OR(H80="-",H80="X"),LOOKUP(H80,{"-","X"},{0,-2}),CHOOSE(H81,7,5,4,3,2,1,0,0,0,0,0,0,0,0,0,0,0,0))</f>
        <v>0</v>
      </c>
      <c r="I82" s="21"/>
      <c r="J82"/>
    </row>
    <row r="83" spans="1:10" ht="19.5" customHeight="1" x14ac:dyDescent="0.4">
      <c r="A83" s="120">
        <v>20</v>
      </c>
      <c r="B83" s="138" t="s">
        <v>55</v>
      </c>
      <c r="C83" s="9" t="s">
        <v>185</v>
      </c>
      <c r="D83" s="1" t="s">
        <v>157</v>
      </c>
      <c r="E83" s="2" t="s">
        <v>52</v>
      </c>
      <c r="F83" s="4" t="s">
        <v>171</v>
      </c>
      <c r="G83" s="3" t="s">
        <v>136</v>
      </c>
      <c r="H83" s="2" t="s">
        <v>134</v>
      </c>
      <c r="I83" s="3" t="s">
        <v>33</v>
      </c>
    </row>
    <row r="84" spans="1:10" ht="19.5" customHeight="1" x14ac:dyDescent="0.4">
      <c r="A84" s="121"/>
      <c r="B84" s="139"/>
      <c r="C84" s="16" t="s">
        <v>28</v>
      </c>
      <c r="D84" s="20">
        <v>6.520833333333334E-4</v>
      </c>
      <c r="E84" s="18">
        <v>6.7523148148148152E-4</v>
      </c>
      <c r="F84" s="19">
        <v>6.2129629629629622E-4</v>
      </c>
      <c r="G84" s="17">
        <v>1.0442129629629629E-3</v>
      </c>
      <c r="H84" s="18">
        <v>6.8043981481481482E-4</v>
      </c>
      <c r="I84" s="17">
        <v>5.5879629629629628E-4</v>
      </c>
    </row>
    <row r="85" spans="1:10" ht="19.5" customHeight="1" x14ac:dyDescent="0.4">
      <c r="A85" s="121"/>
      <c r="B85" s="139"/>
      <c r="C85" s="16" t="s">
        <v>29</v>
      </c>
      <c r="D85" s="21">
        <f>IF(OR(D84="-",D84="X"),"-",RANK(D84,($D84:$I84),1))</f>
        <v>3</v>
      </c>
      <c r="E85" s="21">
        <f t="shared" ref="E85:I85" si="20">IF(OR(E84="-",E84="X"),"-",RANK(E84,($D84:$I84),1))</f>
        <v>4</v>
      </c>
      <c r="F85" s="21">
        <f t="shared" si="20"/>
        <v>2</v>
      </c>
      <c r="G85" s="21">
        <f t="shared" si="20"/>
        <v>6</v>
      </c>
      <c r="H85" s="21">
        <f t="shared" si="20"/>
        <v>5</v>
      </c>
      <c r="I85" s="21">
        <f t="shared" si="20"/>
        <v>1</v>
      </c>
    </row>
    <row r="86" spans="1:10" ht="19.5" customHeight="1" x14ac:dyDescent="0.4">
      <c r="A86" s="121"/>
      <c r="B86" s="140"/>
      <c r="C86" s="16" t="s">
        <v>30</v>
      </c>
      <c r="D86" s="21">
        <f>IF(OR(D84="-",D84="X"),LOOKUP(D84,{"-","X"},{0,-2}),CHOOSE(D85,7,5,4,3,2,1,0,0,0,0,0,0,0,0,0,0,0,0))</f>
        <v>4</v>
      </c>
      <c r="E86" s="21">
        <f>IF(OR(E84="-",E84="X"),LOOKUP(E84,{"-","X"},{0,-2}),CHOOSE(E85,7,5,4,3,2,1,0,0,0,0,0,0,0,0,0,0,0,0))</f>
        <v>3</v>
      </c>
      <c r="F86" s="21">
        <f>IF(OR(F84="-",F84="X"),LOOKUP(F84,{"-","X"},{0,-2}),CHOOSE(F85,7,5,4,3,2,1,0,0,0,0,0,0,0,0,0,0,0,0))</f>
        <v>5</v>
      </c>
      <c r="G86" s="21">
        <f>IF(OR(G84="-",G84="X"),LOOKUP(G84,{"-","X"},{0,-2}),CHOOSE(G85,7,5,4,3,2,1,0,0,0,0,0,0,0,0,0,0,0,0))</f>
        <v>1</v>
      </c>
      <c r="H86" s="21">
        <f>IF(OR(H84="-",H84="X"),LOOKUP(H84,{"-","X"},{0,-2}),CHOOSE(H85,7,5,4,3,2,1,0,0,0,0,0,0,0,0,0,0,0,0))</f>
        <v>2</v>
      </c>
      <c r="I86" s="21">
        <f t="shared" ref="I86" si="21">IF(I85&lt;=0,0,CHOOSE(I85,7,5,4,3,2,1,0,0,0,0,0,0,0,0,0,0,0,0))</f>
        <v>7</v>
      </c>
    </row>
    <row r="87" spans="1:10" ht="19.5" customHeight="1" x14ac:dyDescent="0.4">
      <c r="A87" s="120" t="s">
        <v>137</v>
      </c>
      <c r="B87" s="141" t="s">
        <v>199</v>
      </c>
      <c r="C87" s="9" t="s">
        <v>54</v>
      </c>
      <c r="D87" s="2" t="s">
        <v>138</v>
      </c>
      <c r="E87" s="3" t="s">
        <v>197</v>
      </c>
      <c r="F87" s="28" t="s">
        <v>38</v>
      </c>
      <c r="G87" s="49" t="s">
        <v>59</v>
      </c>
      <c r="H87" s="50" t="s">
        <v>103</v>
      </c>
      <c r="I87" s="7"/>
    </row>
    <row r="88" spans="1:10" ht="19.5" customHeight="1" x14ac:dyDescent="0.4">
      <c r="A88" s="121"/>
      <c r="B88" s="142"/>
      <c r="C88" s="9" t="s">
        <v>4</v>
      </c>
      <c r="D88" s="18">
        <v>6.4201388888888891E-4</v>
      </c>
      <c r="E88" s="17" t="s">
        <v>441</v>
      </c>
      <c r="F88" s="17">
        <v>4.3726851851851853E-4</v>
      </c>
      <c r="G88" s="18">
        <v>5.6932870370370373E-4</v>
      </c>
      <c r="H88" s="19">
        <v>4.7303240740740731E-4</v>
      </c>
      <c r="I88" s="7"/>
    </row>
    <row r="89" spans="1:10" ht="19.5" customHeight="1" x14ac:dyDescent="0.4">
      <c r="A89" s="121"/>
      <c r="B89" s="143"/>
      <c r="C89" s="16" t="s">
        <v>23</v>
      </c>
      <c r="D89" s="21">
        <f>IF(OR(D88="-",D88="X"),"-",RANK(D88,($D88:$F88),1))</f>
        <v>2</v>
      </c>
      <c r="E89" s="21" t="str">
        <f t="shared" ref="E89:F89" si="22">IF(OR(E88="-",E88="X"),"-",RANK(E88,($D88:$F88),1))</f>
        <v>-</v>
      </c>
      <c r="F89" s="21">
        <f t="shared" si="22"/>
        <v>1</v>
      </c>
      <c r="G89" s="21">
        <f>IF(OR(G88="-",G88="X"),"-",RANK(G88,($G88:$H88),1))</f>
        <v>2</v>
      </c>
      <c r="H89" s="21">
        <f>IF(OR(H88="-",H88="X"),"-",RANK(H88,($G88:$H88),1))</f>
        <v>1</v>
      </c>
      <c r="I89" s="21"/>
    </row>
    <row r="90" spans="1:10" ht="19.5" customHeight="1" x14ac:dyDescent="0.4">
      <c r="A90" s="121"/>
      <c r="B90" s="144"/>
      <c r="C90" s="16" t="s">
        <v>24</v>
      </c>
      <c r="D90" s="21">
        <f>IF(OR(D88="-",D88="X"),LOOKUP(D88,{"-","X"},{0,-2}),CHOOSE(D89,7,5,4,3,2,1,0,0,0,0,0,0,0,0,0,0,0,0))</f>
        <v>5</v>
      </c>
      <c r="E90" s="21">
        <f>IF(OR(E88="-",E88="X"),LOOKUP(E88,{"-","X"},{0,-2}),CHOOSE(E89,7,5,4,3,2,1,0,0,0,0,0,0,0,0,0,0,0,0))</f>
        <v>0</v>
      </c>
      <c r="F90" s="21">
        <f>IF(OR(F88="-",F88="X"),LOOKUP(F88,{"-","X"},{0,-2}),CHOOSE(F89,7,5,4,3,2,1,0,0,0,0,0,0,0,0,0,0,0,0))</f>
        <v>7</v>
      </c>
      <c r="G90" s="21">
        <f>IF(OR(G88="-",G88="X"),LOOKUP(G88,{"-","X"},{0,-2}),CHOOSE(G89,7,5,4,3,2,1,0,0,0,0,0,0,0,0,0,0,0,0))</f>
        <v>5</v>
      </c>
      <c r="H90" s="21">
        <f>IF(OR(H88="-",H88="X"),LOOKUP(H88,{"-","X"},{0,-2}),CHOOSE(H89,7,5,4,3,2,1,0,0,0,0,0,0,0,0,0,0,0,0))</f>
        <v>7</v>
      </c>
      <c r="I90" s="21"/>
    </row>
    <row r="91" spans="1:10" ht="19.5" customHeight="1" x14ac:dyDescent="0.4">
      <c r="A91" s="120">
        <v>23</v>
      </c>
      <c r="B91" s="115" t="s">
        <v>60</v>
      </c>
      <c r="C91" s="10" t="s">
        <v>56</v>
      </c>
      <c r="D91" s="2" t="s">
        <v>180</v>
      </c>
      <c r="E91" s="4" t="s">
        <v>166</v>
      </c>
      <c r="F91" s="3" t="s">
        <v>164</v>
      </c>
      <c r="G91" s="2" t="s">
        <v>177</v>
      </c>
      <c r="H91" s="3" t="s">
        <v>162</v>
      </c>
      <c r="I91" s="7"/>
    </row>
    <row r="92" spans="1:10" ht="19.5" customHeight="1" x14ac:dyDescent="0.4">
      <c r="A92" s="121"/>
      <c r="B92" s="116"/>
      <c r="C92" s="26" t="s">
        <v>28</v>
      </c>
      <c r="D92" s="18">
        <v>7.5740740740740749E-4</v>
      </c>
      <c r="E92" s="19">
        <v>8.4340277777777766E-4</v>
      </c>
      <c r="F92" s="17">
        <v>7.2731481481481475E-4</v>
      </c>
      <c r="G92" s="18">
        <v>8.166666666666666E-4</v>
      </c>
      <c r="H92" s="17">
        <v>7.0127314814814824E-4</v>
      </c>
      <c r="I92" s="7"/>
    </row>
    <row r="93" spans="1:10" ht="19.5" customHeight="1" x14ac:dyDescent="0.4">
      <c r="A93" s="121"/>
      <c r="B93" s="116"/>
      <c r="C93" s="26" t="s">
        <v>29</v>
      </c>
      <c r="D93" s="21">
        <f>IF(OR(D92="-",D92="X"),"-",RANK(D92,($D92:$H92,$E96:$H96),1))</f>
        <v>5</v>
      </c>
      <c r="E93" s="21">
        <f>IF(OR(E92="-",E92="X"),"-",RANK(E92,($D92:$H92,$E96:$H96),1))</f>
        <v>7</v>
      </c>
      <c r="F93" s="21">
        <f>IF(OR(F92="-",F92="X"),"-",RANK(F92,($D92:$H92,$E96:$H96),1))</f>
        <v>4</v>
      </c>
      <c r="G93" s="21">
        <f>IF(OR(G92="-",G92="X"),"-",RANK(G92,($D92:$H92,$E96:$H96),1))</f>
        <v>6</v>
      </c>
      <c r="H93" s="21">
        <f>IF(OR(H92="-",H92="X"),"-",RANK(H92,($D92:$H92,$E96:$H96),1))</f>
        <v>3</v>
      </c>
      <c r="I93" s="21"/>
    </row>
    <row r="94" spans="1:10" ht="19.5" customHeight="1" x14ac:dyDescent="0.4">
      <c r="A94" s="121"/>
      <c r="B94" s="116"/>
      <c r="C94" s="26" t="s">
        <v>30</v>
      </c>
      <c r="D94" s="21">
        <f>IF(OR(D92="-",D92="X"),LOOKUP(D92,{"-","X"},{0,-2}),CHOOSE(D93,7,5,4,3,2,1,0,0,0,0,0,0,0,0,0,0,0,0))</f>
        <v>2</v>
      </c>
      <c r="E94" s="21">
        <f>IF(OR(E92="-",E92="X"),LOOKUP(E92,{"-","X"},{0,-2}),CHOOSE(E93,7,5,4,3,2,1,0,0,0,0,0,0,0,0,0,0,0,0))</f>
        <v>0</v>
      </c>
      <c r="F94" s="21">
        <f>IF(OR(F92="-",F92="X"),LOOKUP(F92,{"-","X"},{0,-2}),CHOOSE(F93,7,5,4,3,2,1,0,0,0,0,0,0,0,0,0,0,0,0))</f>
        <v>3</v>
      </c>
      <c r="G94" s="21">
        <f>IF(OR(G92="-",G92="X"),LOOKUP(G92,{"-","X"},{0,-2}),CHOOSE(G93,7,5,4,3,2,1,0,0,0,0,0,0,0,0,0,0,0,0))</f>
        <v>1</v>
      </c>
      <c r="H94" s="21">
        <f>IF(OR(H92="-",H92="X"),LOOKUP(H92,{"-","X"},{0,-2}),CHOOSE(H93,7,5,4,3,2,1,0,0,0,0,0,0,0,0,0,0,0,0))</f>
        <v>4</v>
      </c>
      <c r="I94" s="21"/>
    </row>
    <row r="95" spans="1:10" ht="19.5" customHeight="1" x14ac:dyDescent="0.4">
      <c r="A95" s="121"/>
      <c r="B95" s="116"/>
      <c r="C95" s="10" t="s">
        <v>186</v>
      </c>
      <c r="D95" s="7"/>
      <c r="E95" s="2" t="s">
        <v>181</v>
      </c>
      <c r="F95" s="3" t="s">
        <v>160</v>
      </c>
      <c r="G95" s="4" t="s">
        <v>172</v>
      </c>
      <c r="H95" s="3" t="s">
        <v>161</v>
      </c>
      <c r="I95" s="7"/>
    </row>
    <row r="96" spans="1:10" ht="19.5" customHeight="1" x14ac:dyDescent="0.4">
      <c r="A96" s="121"/>
      <c r="B96" s="116"/>
      <c r="C96" s="26" t="s">
        <v>28</v>
      </c>
      <c r="D96" s="7"/>
      <c r="E96" s="18">
        <v>5.2037037037037037E-4</v>
      </c>
      <c r="F96" s="17">
        <v>8.6481481481481489E-4</v>
      </c>
      <c r="G96" s="19" t="s">
        <v>441</v>
      </c>
      <c r="H96" s="17">
        <v>5.2835648148148154E-4</v>
      </c>
      <c r="I96" s="7"/>
    </row>
    <row r="97" spans="1:9" ht="19.5" customHeight="1" x14ac:dyDescent="0.4">
      <c r="A97" s="121"/>
      <c r="B97" s="116"/>
      <c r="C97" s="26" t="s">
        <v>29</v>
      </c>
      <c r="D97" s="21"/>
      <c r="E97" s="21">
        <f>IF(OR(E96="-",E96="X"),"-",RANK(E96,($D92:$H92,$E96:$H96),1))</f>
        <v>1</v>
      </c>
      <c r="F97" s="21">
        <f>IF(OR(F96="-",F96="X"),"-",RANK(F96,($D92:$H92,$E96:$H96),1))</f>
        <v>8</v>
      </c>
      <c r="G97" s="21" t="str">
        <f>IF(OR(G96="-",G96="X"),"-",RANK(G96,($D92:$H92,$E96:$H96),1))</f>
        <v>-</v>
      </c>
      <c r="H97" s="21">
        <f>IF(OR(H96="-",H96="X"),"-",RANK(H96,($D92:$H92,$E96:$H96),1))</f>
        <v>2</v>
      </c>
      <c r="I97" s="21"/>
    </row>
    <row r="98" spans="1:9" ht="19.5" customHeight="1" x14ac:dyDescent="0.4">
      <c r="A98" s="134"/>
      <c r="B98" s="117"/>
      <c r="C98" s="26" t="s">
        <v>30</v>
      </c>
      <c r="D98" s="21"/>
      <c r="E98" s="21">
        <f>IF(OR(E96="-",E96="X"),LOOKUP(E96,{"-","X"},{0,-2}),CHOOSE(E97,7,5,4,3,2,1,0,0,0,0,0,0,0,0,0,0,0,0))</f>
        <v>7</v>
      </c>
      <c r="F98" s="21">
        <f>IF(OR(F96="-",F96="X"),LOOKUP(F96,{"-","X"},{0,-2}),CHOOSE(F97,7,5,4,3,2,1,0,0,0,0,0,0,0,0,0,0,0,0))</f>
        <v>0</v>
      </c>
      <c r="G98" s="21">
        <f>IF(OR(G96="-",G96="X"),LOOKUP(G96,{"-","X"},{0,-2}),CHOOSE(G97,7,5,4,3,2,1,0,0,0,0,0,0,0,0,0,0,0,0))</f>
        <v>0</v>
      </c>
      <c r="H98" s="21">
        <f>IF(OR(H96="-",H96="X"),LOOKUP(H96,{"-","X"},{0,-2}),CHOOSE(H97,7,5,4,3,2,1,0,0,0,0,0,0,0,0,0,0,0,0))</f>
        <v>5</v>
      </c>
      <c r="I98" s="21"/>
    </row>
    <row r="99" spans="1:9" ht="19.5" customHeight="1" x14ac:dyDescent="0.4">
      <c r="A99" s="120">
        <v>24</v>
      </c>
      <c r="B99" s="145" t="s">
        <v>63</v>
      </c>
      <c r="C99" s="10" t="s">
        <v>57</v>
      </c>
      <c r="D99" s="3" t="s">
        <v>139</v>
      </c>
      <c r="E99" s="1" t="s">
        <v>78</v>
      </c>
      <c r="F99" s="3" t="s">
        <v>109</v>
      </c>
      <c r="G99" s="2" t="s">
        <v>142</v>
      </c>
      <c r="H99" s="3" t="s">
        <v>141</v>
      </c>
      <c r="I99" s="7"/>
    </row>
    <row r="100" spans="1:9" ht="19.5" customHeight="1" x14ac:dyDescent="0.4">
      <c r="A100" s="121"/>
      <c r="B100" s="146"/>
      <c r="C100" s="26" t="s">
        <v>28</v>
      </c>
      <c r="D100" s="17">
        <v>6.076388888888889E-4</v>
      </c>
      <c r="E100" s="20">
        <v>7.6203703703703709E-4</v>
      </c>
      <c r="F100" s="17">
        <v>5.2268518518518517E-4</v>
      </c>
      <c r="G100" s="18">
        <v>9.0173611111111108E-4</v>
      </c>
      <c r="H100" s="17" t="s">
        <v>440</v>
      </c>
      <c r="I100" s="7"/>
    </row>
    <row r="101" spans="1:9" ht="19.5" customHeight="1" x14ac:dyDescent="0.4">
      <c r="A101" s="121"/>
      <c r="B101" s="147"/>
      <c r="C101" s="26" t="s">
        <v>29</v>
      </c>
      <c r="D101" s="21">
        <f>IF(OR(D100="-",D100="X"),"-",RANK(D100,($D100:$H100),1))</f>
        <v>2</v>
      </c>
      <c r="E101" s="21">
        <f t="shared" ref="E101:H101" si="23">IF(OR(E100="-",E100="X"),"-",RANK(E100,($D100:$H100),1))</f>
        <v>3</v>
      </c>
      <c r="F101" s="21">
        <f t="shared" si="23"/>
        <v>1</v>
      </c>
      <c r="G101" s="21">
        <f t="shared" si="23"/>
        <v>4</v>
      </c>
      <c r="H101" s="21" t="str">
        <f t="shared" si="23"/>
        <v>-</v>
      </c>
      <c r="I101" s="21"/>
    </row>
    <row r="102" spans="1:9" ht="19.5" customHeight="1" x14ac:dyDescent="0.4">
      <c r="A102" s="121"/>
      <c r="B102" s="147"/>
      <c r="C102" s="26" t="s">
        <v>30</v>
      </c>
      <c r="D102" s="21">
        <f>IF(OR(D100="-",D100="X"),LOOKUP(D100,{"-","X"},{0,-2}),CHOOSE(D101,7,5,4,3,2,1,0,0,0,0,0,0,0,0,0,0,0,0))</f>
        <v>5</v>
      </c>
      <c r="E102" s="21">
        <f>IF(OR(E100="-",E100="X"),LOOKUP(E100,{"-","X"},{0,-2}),CHOOSE(E101,7,5,4,3,2,1,0,0,0,0,0,0,0,0,0,0,0,0))</f>
        <v>4</v>
      </c>
      <c r="F102" s="21">
        <f>IF(OR(F100="-",F100="X"),LOOKUP(F100,{"-","X"},{0,-2}),CHOOSE(F101,7,5,4,3,2,1,0,0,0,0,0,0,0,0,0,0,0,0))</f>
        <v>7</v>
      </c>
      <c r="G102" s="21">
        <f>IF(OR(G100="-",G100="X"),LOOKUP(G100,{"-","X"},{0,-2}),CHOOSE(G101,7,5,4,3,2,1,0,0,0,0,0,0,0,0,0,0,0,0))</f>
        <v>3</v>
      </c>
      <c r="H102" s="21">
        <f>IF(OR(H100="-",H100="X"),LOOKUP(H100,{"-","X"},{0,-2}),CHOOSE(H101,7,5,4,3,2,1,0,0,0,0,0,0,0,0,0,0,0,0))</f>
        <v>-2</v>
      </c>
      <c r="I102" s="21"/>
    </row>
    <row r="103" spans="1:9" ht="19.5" customHeight="1" x14ac:dyDescent="0.4">
      <c r="A103" s="118">
        <v>25</v>
      </c>
      <c r="B103" s="105" t="s">
        <v>64</v>
      </c>
      <c r="C103" s="9" t="s">
        <v>61</v>
      </c>
      <c r="D103" s="2" t="s">
        <v>36</v>
      </c>
      <c r="E103" s="4" t="s">
        <v>80</v>
      </c>
      <c r="F103" s="3" t="s">
        <v>198</v>
      </c>
      <c r="G103" s="2" t="s">
        <v>178</v>
      </c>
      <c r="H103" s="4" t="s">
        <v>144</v>
      </c>
      <c r="I103" s="7"/>
    </row>
    <row r="104" spans="1:9" ht="19.5" customHeight="1" x14ac:dyDescent="0.4">
      <c r="A104" s="119"/>
      <c r="B104" s="106"/>
      <c r="C104" s="16" t="s">
        <v>28</v>
      </c>
      <c r="D104" s="18">
        <v>5.5127314814814817E-4</v>
      </c>
      <c r="E104" s="19">
        <v>4.3194444444444443E-4</v>
      </c>
      <c r="F104" s="17">
        <v>7.5810185185185182E-4</v>
      </c>
      <c r="G104" s="18">
        <v>6.4027777777777781E-4</v>
      </c>
      <c r="H104" s="19">
        <v>4.0115740740740742E-4</v>
      </c>
      <c r="I104" s="7"/>
    </row>
    <row r="105" spans="1:9" ht="19.5" customHeight="1" x14ac:dyDescent="0.4">
      <c r="A105" s="119"/>
      <c r="B105" s="106"/>
      <c r="C105" s="16" t="s">
        <v>29</v>
      </c>
      <c r="D105" s="21">
        <f>IF(OR(D104="-",D104="X"),"-",RANK(D104,($D104:$H104,$D108:$H108),1))</f>
        <v>8</v>
      </c>
      <c r="E105" s="21">
        <f>IF(OR(E104="-",E104="X"),"-",RANK(E104,($D104:$H104,$D108:$H108),1))</f>
        <v>4</v>
      </c>
      <c r="F105" s="21">
        <f>IF(OR(F104="-",F104="X"),"-",RANK(F104,($D104:$H104,$D108:$H108),1))</f>
        <v>10</v>
      </c>
      <c r="G105" s="21">
        <f>IF(OR(G104="-",G104="X"),"-",RANK(G104,($D104:$H104,$D108:$H108),1))</f>
        <v>9</v>
      </c>
      <c r="H105" s="21">
        <f>IF(OR(H104="-",H104="X"),"-",RANK(H104,($D104:$H104,$D108:$H108),1))</f>
        <v>2</v>
      </c>
      <c r="I105" s="21"/>
    </row>
    <row r="106" spans="1:9" ht="19.5" customHeight="1" x14ac:dyDescent="0.4">
      <c r="A106" s="119"/>
      <c r="B106" s="106"/>
      <c r="C106" s="16" t="s">
        <v>30</v>
      </c>
      <c r="D106" s="21">
        <f>IF(OR(D104="-",D104="X"),LOOKUP(D104,{"-","X"},{0,-2}),CHOOSE(D105,7,5,4,3,2,1,0,0,0,0,0,0,0,0,0,0,0,0))</f>
        <v>0</v>
      </c>
      <c r="E106" s="21">
        <f>IF(OR(E104="-",E104="X"),LOOKUP(E104,{"-","X"},{0,-2}),CHOOSE(E105,7,5,4,3,2,1,0,0,0,0,0,0,0,0,0,0,0,0))</f>
        <v>3</v>
      </c>
      <c r="F106" s="21">
        <f>IF(OR(F104="-",F104="X"),LOOKUP(F104,{"-","X"},{0,-2}),CHOOSE(F105,7,5,4,3,2,1,0,0,0,0,0,0,0,0,0,0,0,0))</f>
        <v>0</v>
      </c>
      <c r="G106" s="21">
        <f>IF(OR(G104="-",G104="X"),LOOKUP(G104,{"-","X"},{0,-2}),CHOOSE(G105,7,5,4,3,2,1,0,0,0,0,0,0,0,0,0,0,0,0))</f>
        <v>0</v>
      </c>
      <c r="H106" s="21">
        <f>IF(OR(H104="-",H104="X"),LOOKUP(H104,{"-","X"},{0,-2}),CHOOSE(H105,7,5,4,3,2,1,0,0,0,0,0,0,0,0,0,0,0,0))</f>
        <v>5</v>
      </c>
      <c r="I106" s="21"/>
    </row>
    <row r="107" spans="1:9" ht="19.5" customHeight="1" x14ac:dyDescent="0.4">
      <c r="A107" s="119"/>
      <c r="B107" s="106"/>
      <c r="C107" s="9" t="s">
        <v>62</v>
      </c>
      <c r="D107" s="3" t="s">
        <v>158</v>
      </c>
      <c r="E107" s="4" t="s">
        <v>37</v>
      </c>
      <c r="F107" s="3" t="s">
        <v>143</v>
      </c>
      <c r="G107" s="2" t="s">
        <v>138</v>
      </c>
      <c r="H107" s="4" t="s">
        <v>173</v>
      </c>
      <c r="I107" s="7"/>
    </row>
    <row r="108" spans="1:9" ht="19.5" customHeight="1" x14ac:dyDescent="0.4">
      <c r="A108" s="119"/>
      <c r="B108" s="106"/>
      <c r="C108" s="16" t="s">
        <v>28</v>
      </c>
      <c r="D108" s="17">
        <v>3.9895833333333336E-4</v>
      </c>
      <c r="E108" s="19">
        <v>4.2280092592592592E-4</v>
      </c>
      <c r="F108" s="17">
        <v>4.5138888888888892E-4</v>
      </c>
      <c r="G108" s="18">
        <v>5.5115740740740743E-4</v>
      </c>
      <c r="H108" s="19">
        <v>4.7997685185185182E-4</v>
      </c>
      <c r="I108" s="7"/>
    </row>
    <row r="109" spans="1:9" ht="19.5" customHeight="1" x14ac:dyDescent="0.4">
      <c r="A109" s="119"/>
      <c r="B109" s="106"/>
      <c r="C109" s="16" t="s">
        <v>29</v>
      </c>
      <c r="D109" s="21">
        <f>IF(OR(D108="-",D108="X"),"-",RANK(D108,($D104:$H104,$D108:$H108),1))</f>
        <v>1</v>
      </c>
      <c r="E109" s="21">
        <f>IF(OR(E108="-",E108="X"),"-",RANK(E108,($D104:$H104,$D108:$H108),1))</f>
        <v>3</v>
      </c>
      <c r="F109" s="21">
        <f>IF(OR(F108="-",F108="X"),"-",RANK(F108,($D104:$H104,$D108:$H108),1))</f>
        <v>5</v>
      </c>
      <c r="G109" s="21">
        <f>IF(OR(G108="-",G108="X"),"-",RANK(G108,($D104:$H104,$D108:$H108),1))</f>
        <v>7</v>
      </c>
      <c r="H109" s="21">
        <f>IF(OR(H108="-",H108="X"),"-",RANK(H108,($D104:$H104,$D108:$H108),1))</f>
        <v>6</v>
      </c>
      <c r="I109" s="21"/>
    </row>
    <row r="110" spans="1:9" ht="19.5" customHeight="1" x14ac:dyDescent="0.4">
      <c r="A110" s="122"/>
      <c r="B110" s="107"/>
      <c r="C110" s="16" t="s">
        <v>30</v>
      </c>
      <c r="D110" s="21">
        <f>IF(OR(D108="-",D108="X"),LOOKUP(D108,{"-","X"},{0,-2}),CHOOSE(D109,7,5,4,3,2,1,0,0,0,0,0,0,0,0,0,0,0,0))</f>
        <v>7</v>
      </c>
      <c r="E110" s="21">
        <f>IF(OR(E108="-",E108="X"),LOOKUP(E108,{"-","X"},{0,-2}),CHOOSE(E109,7,5,4,3,2,1,0,0,0,0,0,0,0,0,0,0,0,0))</f>
        <v>4</v>
      </c>
      <c r="F110" s="21">
        <f>IF(OR(F108="-",F108="X"),LOOKUP(F108,{"-","X"},{0,-2}),CHOOSE(F109,7,5,4,3,2,1,0,0,0,0,0,0,0,0,0,0,0,0))</f>
        <v>2</v>
      </c>
      <c r="G110" s="21">
        <f>IF(OR(G108="-",G108="X"),LOOKUP(G108,{"-","X"},{0,-2}),CHOOSE(G109,7,5,4,3,2,1,0,0,0,0,0,0,0,0,0,0,0,0))</f>
        <v>0</v>
      </c>
      <c r="H110" s="21">
        <f>IF(OR(H108="-",H108="X"),LOOKUP(H108,{"-","X"},{0,-2}),CHOOSE(H109,7,5,4,3,2,1,0,0,0,0,0,0,0,0,0,0,0,0))</f>
        <v>1</v>
      </c>
      <c r="I110" s="21"/>
    </row>
    <row r="111" spans="1:9" ht="19.5" customHeight="1" x14ac:dyDescent="0.4">
      <c r="A111" s="118">
        <v>26</v>
      </c>
      <c r="B111" s="105" t="s">
        <v>65</v>
      </c>
      <c r="C111" s="9" t="s">
        <v>8</v>
      </c>
      <c r="D111" s="7"/>
      <c r="E111" s="2" t="s">
        <v>179</v>
      </c>
      <c r="F111" s="4" t="s">
        <v>171</v>
      </c>
      <c r="G111" s="3" t="s">
        <v>145</v>
      </c>
      <c r="H111" s="2" t="s">
        <v>184</v>
      </c>
      <c r="I111" s="7"/>
    </row>
    <row r="112" spans="1:9" ht="19.5" customHeight="1" x14ac:dyDescent="0.4">
      <c r="A112" s="119"/>
      <c r="B112" s="106"/>
      <c r="C112" s="16" t="s">
        <v>28</v>
      </c>
      <c r="D112" s="7"/>
      <c r="E112" s="18">
        <v>5.97800925925926E-4</v>
      </c>
      <c r="F112" s="19">
        <v>5.9571759259259257E-4</v>
      </c>
      <c r="G112" s="17">
        <v>5.3240740740740744E-4</v>
      </c>
      <c r="H112" s="18">
        <v>4.738425925925926E-4</v>
      </c>
      <c r="I112" s="7"/>
    </row>
    <row r="113" spans="1:9" ht="19.5" customHeight="1" x14ac:dyDescent="0.4">
      <c r="A113" s="119"/>
      <c r="B113" s="106"/>
      <c r="C113" s="16" t="s">
        <v>29</v>
      </c>
      <c r="D113" s="21"/>
      <c r="E113" s="21">
        <f>IF(OR(E112="-",E112="X"),"-",RANK(E112,($E112:$H112,$E116:$H116),1))</f>
        <v>7</v>
      </c>
      <c r="F113" s="21">
        <f>IF(OR(F112="-",F112="X"),"-",RANK(F112,($E112:$H112,$E116:$H116),1))</f>
        <v>6</v>
      </c>
      <c r="G113" s="21">
        <f>IF(OR(G112="-",G112="X"),"-",RANK(G112,($E112:$H112,$E116:$H116),1))</f>
        <v>5</v>
      </c>
      <c r="H113" s="21">
        <f>IF(OR(H112="-",H112="X"),"-",RANK(H112,($E112:$H112,$E116:$H116),1))</f>
        <v>4</v>
      </c>
      <c r="I113" s="21"/>
    </row>
    <row r="114" spans="1:9" ht="19.5" customHeight="1" x14ac:dyDescent="0.4">
      <c r="A114" s="119"/>
      <c r="B114" s="106"/>
      <c r="C114" s="16" t="s">
        <v>30</v>
      </c>
      <c r="D114" s="21"/>
      <c r="E114" s="21">
        <f>IF(OR(E112="-",E112="X"),LOOKUP(E112,{"-","X"},{0,-2}),CHOOSE(E113,7,5,4,3,2,1,0,0,0,0,0,0,0,0,0,0,0,0))</f>
        <v>0</v>
      </c>
      <c r="F114" s="21">
        <f>IF(OR(F112="-",F112="X"),LOOKUP(F112,{"-","X"},{0,-2}),CHOOSE(F113,7,5,4,3,2,1,0,0,0,0,0,0,0,0,0,0,0,0))</f>
        <v>1</v>
      </c>
      <c r="G114" s="21">
        <f>IF(OR(G112="-",G112="X"),LOOKUP(G112,{"-","X"},{0,-2}),CHOOSE(G113,7,5,4,3,2,1,0,0,0,0,0,0,0,0,0,0,0,0))</f>
        <v>2</v>
      </c>
      <c r="H114" s="21">
        <f>IF(OR(H112="-",H112="X"),LOOKUP(H112,{"-","X"},{0,-2}),CHOOSE(H113,7,5,4,3,2,1,0,0,0,0,0,0,0,0,0,0,0,0))</f>
        <v>3</v>
      </c>
      <c r="I114" s="21"/>
    </row>
    <row r="115" spans="1:9" ht="19.5" customHeight="1" x14ac:dyDescent="0.4">
      <c r="A115" s="119"/>
      <c r="B115" s="106"/>
      <c r="C115" s="9" t="s">
        <v>187</v>
      </c>
      <c r="D115" s="7"/>
      <c r="E115" s="2" t="s">
        <v>58</v>
      </c>
      <c r="F115" s="4" t="s">
        <v>174</v>
      </c>
      <c r="G115" s="3" t="s">
        <v>100</v>
      </c>
      <c r="H115" s="2" t="s">
        <v>40</v>
      </c>
      <c r="I115" s="7"/>
    </row>
    <row r="116" spans="1:9" ht="19.5" customHeight="1" x14ac:dyDescent="0.4">
      <c r="A116" s="119"/>
      <c r="B116" s="106"/>
      <c r="C116" s="16" t="s">
        <v>28</v>
      </c>
      <c r="D116" s="7"/>
      <c r="E116" s="18">
        <v>4.4050925925925936E-4</v>
      </c>
      <c r="F116" s="19">
        <v>4.6365740740740748E-4</v>
      </c>
      <c r="G116" s="17" t="s">
        <v>441</v>
      </c>
      <c r="H116" s="18">
        <v>4.3831018518518519E-4</v>
      </c>
      <c r="I116" s="7"/>
    </row>
    <row r="117" spans="1:9" ht="19.5" customHeight="1" x14ac:dyDescent="0.4">
      <c r="A117" s="119"/>
      <c r="B117" s="106"/>
      <c r="C117" s="16" t="s">
        <v>29</v>
      </c>
      <c r="D117" s="21"/>
      <c r="E117" s="21">
        <f>IF(OR(E116="-",E116="X"),"-",RANK(E116,($E112:$H112,$E116:$H116),1))</f>
        <v>2</v>
      </c>
      <c r="F117" s="21">
        <f>IF(OR(F116="-",F116="X"),"-",RANK(F116,($E112:$H112,$E116:$H116),1))</f>
        <v>3</v>
      </c>
      <c r="G117" s="21" t="str">
        <f>IF(OR(G116="-",G116="X"),"-",RANK(G116,($E112:$H112,$E116:$H116),1))</f>
        <v>-</v>
      </c>
      <c r="H117" s="21">
        <f>IF(OR(H116="-",H116="X"),"-",RANK(H116,($E112:$H112,$E116:$H116),1))</f>
        <v>1</v>
      </c>
      <c r="I117" s="21"/>
    </row>
    <row r="118" spans="1:9" ht="19.5" customHeight="1" x14ac:dyDescent="0.4">
      <c r="A118" s="122"/>
      <c r="B118" s="107"/>
      <c r="C118" s="16" t="s">
        <v>30</v>
      </c>
      <c r="D118" s="21"/>
      <c r="E118" s="21">
        <f>IF(OR(E116="-",E116="X"),LOOKUP(E116,{"-","X"},{0,-2}),CHOOSE(E117,7,5,4,3,2,1,0,0,0,0,0,0,0,0,0,0,0,0))</f>
        <v>5</v>
      </c>
      <c r="F118" s="21">
        <f>IF(OR(F116="-",F116="X"),LOOKUP(F116,{"-","X"},{0,-2}),CHOOSE(F117,7,5,4,3,2,1,0,0,0,0,0,0,0,0,0,0,0,0))</f>
        <v>4</v>
      </c>
      <c r="G118" s="21">
        <f>IF(OR(G116="-",G116="X"),LOOKUP(G116,{"-","X"},{0,-2}),CHOOSE(G117,7,5,4,3,2,1,0,0,0,0,0,0,0,0,0,0,0,0))</f>
        <v>0</v>
      </c>
      <c r="H118" s="21">
        <f>IF(OR(H116="-",H116="X"),LOOKUP(H116,{"-","X"},{0,-2}),CHOOSE(H117,7,5,4,3,2,1,0,0,0,0,0,0,0,0,0,0,0,0))</f>
        <v>7</v>
      </c>
      <c r="I118" s="21"/>
    </row>
    <row r="119" spans="1:9" ht="19.5" customHeight="1" x14ac:dyDescent="0.4">
      <c r="A119" s="118">
        <v>27</v>
      </c>
      <c r="B119" s="115" t="s">
        <v>66</v>
      </c>
      <c r="C119" s="10" t="s">
        <v>188</v>
      </c>
      <c r="D119" s="7"/>
      <c r="E119" s="2" t="s">
        <v>88</v>
      </c>
      <c r="F119" s="4" t="s">
        <v>175</v>
      </c>
      <c r="G119" s="3" t="s">
        <v>147</v>
      </c>
      <c r="H119" s="7"/>
      <c r="I119" s="7"/>
    </row>
    <row r="120" spans="1:9" ht="19.5" customHeight="1" x14ac:dyDescent="0.4">
      <c r="A120" s="119"/>
      <c r="B120" s="116"/>
      <c r="C120" s="26" t="s">
        <v>28</v>
      </c>
      <c r="D120" s="7"/>
      <c r="E120" s="18">
        <v>3.1791666666666669E-3</v>
      </c>
      <c r="F120" s="61" t="s">
        <v>441</v>
      </c>
      <c r="G120" s="57">
        <v>3.3105324074074074E-3</v>
      </c>
      <c r="H120" s="7"/>
      <c r="I120" s="7"/>
    </row>
    <row r="121" spans="1:9" ht="19.5" customHeight="1" x14ac:dyDescent="0.4">
      <c r="A121" s="126"/>
      <c r="B121" s="116"/>
      <c r="C121" s="26" t="s">
        <v>29</v>
      </c>
      <c r="D121" s="21"/>
      <c r="E121" s="21">
        <f>IF(OR(E120="-",E120="X"),"-",RANK(E120,($E120:$G120),1))</f>
        <v>1</v>
      </c>
      <c r="F121" s="21" t="str">
        <f t="shared" ref="F121:G121" si="24">IF(OR(F120="-",F120="X"),"-",RANK(F120,($E120:$G120),1))</f>
        <v>-</v>
      </c>
      <c r="G121" s="21">
        <f t="shared" si="24"/>
        <v>2</v>
      </c>
      <c r="H121" s="21"/>
      <c r="I121" s="7"/>
    </row>
    <row r="122" spans="1:9" ht="19.5" customHeight="1" x14ac:dyDescent="0.4">
      <c r="A122" s="127"/>
      <c r="B122" s="117"/>
      <c r="C122" s="26" t="s">
        <v>30</v>
      </c>
      <c r="D122" s="21"/>
      <c r="E122" s="21">
        <f>IF(OR(E120="-",E120="X"),LOOKUP(E120,{"-","X"},{0,-2}),CHOOSE(E121,7,5,4,3,2,1,0,0,0,0,0,0,0,0,0,0,0,0))</f>
        <v>7</v>
      </c>
      <c r="F122" s="21">
        <f>IF(OR(F120="-",F120="X"),LOOKUP(F120,{"-","X"},{0,-2}),CHOOSE(F121,7,5,4,3,2,1,0,0,0,0,0,0,0,0,0,0,0,0))</f>
        <v>0</v>
      </c>
      <c r="G122" s="21">
        <f>IF(OR(G120="-",G120="X"),LOOKUP(G120,{"-","X"},{0,-2}),CHOOSE(G121,7,5,4,3,2,1,0,0,0,0,0,0,0,0,0,0,0,0))</f>
        <v>5</v>
      </c>
      <c r="H122" s="21"/>
      <c r="I122" s="7"/>
    </row>
    <row r="123" spans="1:9" ht="19.5" customHeight="1" x14ac:dyDescent="0.4">
      <c r="A123" s="118">
        <v>28</v>
      </c>
      <c r="B123" s="105" t="s">
        <v>9</v>
      </c>
      <c r="C123" s="9" t="s">
        <v>189</v>
      </c>
      <c r="D123" s="3" t="s">
        <v>148</v>
      </c>
      <c r="E123" s="4" t="s">
        <v>151</v>
      </c>
      <c r="F123" s="3" t="s">
        <v>6</v>
      </c>
      <c r="G123" s="2" t="s">
        <v>53</v>
      </c>
      <c r="H123" s="3" t="s">
        <v>149</v>
      </c>
      <c r="I123" s="7"/>
    </row>
    <row r="124" spans="1:9" ht="19.5" customHeight="1" x14ac:dyDescent="0.4">
      <c r="A124" s="119"/>
      <c r="B124" s="106"/>
      <c r="C124" s="16" t="s">
        <v>28</v>
      </c>
      <c r="D124" s="57">
        <v>3.1655092592592598E-3</v>
      </c>
      <c r="E124" s="61">
        <v>3.1420138888888886E-3</v>
      </c>
      <c r="F124" s="57">
        <v>2.5918981481481479E-3</v>
      </c>
      <c r="G124" s="60">
        <v>3.0812500000000002E-3</v>
      </c>
      <c r="H124" s="57">
        <v>2.8053240740740742E-3</v>
      </c>
      <c r="I124" s="7"/>
    </row>
    <row r="125" spans="1:9" ht="19.5" customHeight="1" x14ac:dyDescent="0.4">
      <c r="A125" s="119"/>
      <c r="B125" s="106"/>
      <c r="C125" s="16" t="s">
        <v>29</v>
      </c>
      <c r="D125" s="21">
        <f>IF(OR(D124="-",D124="X"),"-",RANK(D124,($D124:$H124),1))</f>
        <v>5</v>
      </c>
      <c r="E125" s="21">
        <f t="shared" ref="E125:H125" si="25">IF(OR(E124="-",E124="X"),"-",RANK(E124,($D124:$H124),1))</f>
        <v>4</v>
      </c>
      <c r="F125" s="21">
        <f t="shared" si="25"/>
        <v>1</v>
      </c>
      <c r="G125" s="21">
        <f t="shared" si="25"/>
        <v>3</v>
      </c>
      <c r="H125" s="21">
        <f t="shared" si="25"/>
        <v>2</v>
      </c>
      <c r="I125" s="7"/>
    </row>
    <row r="126" spans="1:9" ht="19.5" customHeight="1" x14ac:dyDescent="0.4">
      <c r="A126" s="122"/>
      <c r="B126" s="107"/>
      <c r="C126" s="16" t="s">
        <v>30</v>
      </c>
      <c r="D126" s="21">
        <f>IF(OR(D124="-",D124="X"),LOOKUP(D124,{"-","X"},{0,-2}),CHOOSE(D125,7,5,4,3,2,1,0,0,0,0,0,0,0,0,0,0,0,0))</f>
        <v>2</v>
      </c>
      <c r="E126" s="21">
        <f>IF(OR(E124="-",E124="X"),LOOKUP(E124,{"-","X"},{0,-2}),CHOOSE(E125,7,5,4,3,2,1,0,0,0,0,0,0,0,0,0,0,0,0))</f>
        <v>3</v>
      </c>
      <c r="F126" s="21">
        <f>IF(OR(F124="-",F124="X"),LOOKUP(F124,{"-","X"},{0,-2}),CHOOSE(F125,7,5,4,3,2,1,0,0,0,0,0,0,0,0,0,0,0,0))</f>
        <v>7</v>
      </c>
      <c r="G126" s="21">
        <f>IF(OR(G124="-",G124="X"),LOOKUP(G124,{"-","X"},{0,-2}),CHOOSE(G125,7,5,4,3,2,1,0,0,0,0,0,0,0,0,0,0,0,0))</f>
        <v>4</v>
      </c>
      <c r="H126" s="21">
        <f>IF(OR(H124="-",H124="X"),LOOKUP(H124,{"-","X"},{0,-2}),CHOOSE(H125,7,5,4,3,2,1,0,0,0,0,0,0,0,0,0,0,0,0))</f>
        <v>5</v>
      </c>
      <c r="I126" s="7"/>
    </row>
    <row r="127" spans="1:9" ht="19.5" customHeight="1" x14ac:dyDescent="0.4">
      <c r="A127" s="118">
        <v>29</v>
      </c>
      <c r="B127" s="138" t="s">
        <v>67</v>
      </c>
      <c r="C127" s="9" t="s">
        <v>190</v>
      </c>
      <c r="D127" s="7"/>
      <c r="E127" s="2" t="s">
        <v>102</v>
      </c>
      <c r="F127" s="3" t="s">
        <v>33</v>
      </c>
      <c r="G127" s="4" t="s">
        <v>103</v>
      </c>
      <c r="H127" s="3" t="s">
        <v>100</v>
      </c>
      <c r="I127" s="7"/>
    </row>
    <row r="128" spans="1:9" ht="19.5" customHeight="1" x14ac:dyDescent="0.4">
      <c r="A128" s="119"/>
      <c r="B128" s="139"/>
      <c r="C128" s="16" t="s">
        <v>28</v>
      </c>
      <c r="D128" s="7"/>
      <c r="E128" s="18">
        <v>3.1119212962962962E-3</v>
      </c>
      <c r="F128" s="57">
        <v>2.6046296296296299E-3</v>
      </c>
      <c r="G128" s="61">
        <v>2.7057870370370374E-3</v>
      </c>
      <c r="H128" s="57" t="s">
        <v>441</v>
      </c>
      <c r="I128" s="7"/>
    </row>
    <row r="129" spans="1:9" ht="19.5" customHeight="1" x14ac:dyDescent="0.4">
      <c r="A129" s="119"/>
      <c r="B129" s="139"/>
      <c r="C129" s="16" t="s">
        <v>29</v>
      </c>
      <c r="D129" s="21"/>
      <c r="E129" s="21">
        <f>IF(OR(E128="-",E128="X"),"-",RANK(E128,($E128:$H128),1))</f>
        <v>3</v>
      </c>
      <c r="F129" s="21">
        <f t="shared" ref="F129:H129" si="26">IF(OR(F128="-",F128="X"),"-",RANK(F128,($E128:$H128),1))</f>
        <v>1</v>
      </c>
      <c r="G129" s="21">
        <f t="shared" si="26"/>
        <v>2</v>
      </c>
      <c r="H129" s="21" t="str">
        <f t="shared" si="26"/>
        <v>-</v>
      </c>
      <c r="I129" s="21"/>
    </row>
    <row r="130" spans="1:9" ht="19.5" customHeight="1" x14ac:dyDescent="0.4">
      <c r="A130" s="122"/>
      <c r="B130" s="140"/>
      <c r="C130" s="16" t="s">
        <v>30</v>
      </c>
      <c r="D130" s="21"/>
      <c r="E130" s="21">
        <f>IF(OR(E128="-",E128="X"),LOOKUP(E128,{"-","X"},{0,-2}),CHOOSE(E129,7,5,4,3,2,1,0,0,0,0,0,0,0,0,0,0,0,0))</f>
        <v>4</v>
      </c>
      <c r="F130" s="21">
        <f>IF(OR(F128="-",F128="X"),LOOKUP(F128,{"-","X"},{0,-2}),CHOOSE(F129,7,5,4,3,2,1,0,0,0,0,0,0,0,0,0,0,0,0))</f>
        <v>7</v>
      </c>
      <c r="G130" s="21">
        <f>IF(OR(G128="-",G128="X"),LOOKUP(G128,{"-","X"},{0,-2}),CHOOSE(G129,7,5,4,3,2,1,0,0,0,0,0,0,0,0,0,0,0,0))</f>
        <v>5</v>
      </c>
      <c r="H130" s="21">
        <f>IF(OR(H128="-",H128="X"),LOOKUP(H128,{"-","X"},{0,-2}),CHOOSE(H129,7,5,4,3,2,1,0,0,0,0,0,0,0,0,0,0,0,0))</f>
        <v>0</v>
      </c>
      <c r="I130" s="21"/>
    </row>
    <row r="131" spans="1:9" ht="19.5" customHeight="1" x14ac:dyDescent="0.4">
      <c r="A131" s="118">
        <v>30</v>
      </c>
      <c r="B131" s="105" t="s">
        <v>68</v>
      </c>
      <c r="C131" s="8" t="s">
        <v>191</v>
      </c>
      <c r="D131" s="4" t="s">
        <v>112</v>
      </c>
      <c r="E131" s="2" t="s">
        <v>73</v>
      </c>
      <c r="F131" s="1" t="s">
        <v>83</v>
      </c>
      <c r="G131" s="3" t="s">
        <v>10</v>
      </c>
      <c r="H131" s="4" t="s">
        <v>144</v>
      </c>
      <c r="I131" s="3" t="s">
        <v>38</v>
      </c>
    </row>
    <row r="132" spans="1:9" ht="19.5" customHeight="1" x14ac:dyDescent="0.4">
      <c r="A132" s="119"/>
      <c r="B132" s="106"/>
      <c r="C132" s="16" t="s">
        <v>28</v>
      </c>
      <c r="D132" s="19">
        <v>3.4620370370370373E-3</v>
      </c>
      <c r="E132" s="60">
        <v>2.8591435185185182E-3</v>
      </c>
      <c r="F132" s="62">
        <v>2.3958333333333336E-3</v>
      </c>
      <c r="G132" s="57">
        <v>2.7231481481481482E-3</v>
      </c>
      <c r="H132" s="19">
        <v>2.2931712962962962E-3</v>
      </c>
      <c r="I132" s="57">
        <v>2.2208333333333333E-3</v>
      </c>
    </row>
    <row r="133" spans="1:9" ht="19.5" customHeight="1" x14ac:dyDescent="0.4">
      <c r="A133" s="126"/>
      <c r="B133" s="106"/>
      <c r="C133" s="16" t="s">
        <v>29</v>
      </c>
      <c r="D133" s="21">
        <f>IF(OR(D132="-",D132="X"),"-",RANK(D132,($D132:$I132),1))</f>
        <v>6</v>
      </c>
      <c r="E133" s="21">
        <f t="shared" ref="E133:I133" si="27">IF(OR(E132="-",E132="X"),"-",RANK(E132,($D132:$I132),1))</f>
        <v>5</v>
      </c>
      <c r="F133" s="21">
        <f t="shared" si="27"/>
        <v>3</v>
      </c>
      <c r="G133" s="21">
        <f t="shared" si="27"/>
        <v>4</v>
      </c>
      <c r="H133" s="21">
        <f t="shared" si="27"/>
        <v>2</v>
      </c>
      <c r="I133" s="21">
        <f t="shared" si="27"/>
        <v>1</v>
      </c>
    </row>
    <row r="134" spans="1:9" ht="19.5" customHeight="1" x14ac:dyDescent="0.4">
      <c r="A134" s="127"/>
      <c r="B134" s="107"/>
      <c r="C134" s="16" t="s">
        <v>30</v>
      </c>
      <c r="D134" s="21">
        <f>IF(OR(D132="-",D132="X"),LOOKUP(D132,{"-","X"},{0,-2}),CHOOSE(D133,7,5,4,3,2,1,0,0,0,0,0,0,0,0,0,0,0,0))</f>
        <v>1</v>
      </c>
      <c r="E134" s="21">
        <f>IF(OR(E132="-",E132="X"),LOOKUP(E132,{"-","X"},{0,-2}),CHOOSE(E133,7,5,4,3,2,1,0,0,0,0,0,0,0,0,0,0,0,0))</f>
        <v>2</v>
      </c>
      <c r="F134" s="21">
        <f>IF(OR(F132="-",F132="X"),LOOKUP(F132,{"-","X"},{0,-2}),CHOOSE(F133,7,5,4,3,2,1,0,0,0,0,0,0,0,0,0,0,0,0))</f>
        <v>4</v>
      </c>
      <c r="G134" s="21">
        <f>IF(OR(G132="-",G132="X"),LOOKUP(G132,{"-","X"},{0,-2}),CHOOSE(G133,7,5,4,3,2,1,0,0,0,0,0,0,0,0,0,0,0,0))</f>
        <v>3</v>
      </c>
      <c r="H134" s="21">
        <f>IF(OR(H132="-",H132="X"),LOOKUP(H132,{"-","X"},{0,-2}),CHOOSE(H133,7,5,4,3,2,1,0,0,0,0,0,0,0,0,0,0,0,0))</f>
        <v>5</v>
      </c>
      <c r="I134" s="21">
        <f>IF(OR(I132="-",I132="X"),LOOKUP(I132,{"-","X"},{0,-2}),CHOOSE(I133,7,5,4,3,2,1,0,0,0,0,0,0,0,0,0,0,0,0))</f>
        <v>7</v>
      </c>
    </row>
    <row r="135" spans="1:9" ht="19.5" customHeight="1" x14ac:dyDescent="0.4">
      <c r="A135" s="118">
        <v>31</v>
      </c>
      <c r="B135" s="105" t="s">
        <v>69</v>
      </c>
      <c r="C135" s="9" t="s">
        <v>192</v>
      </c>
      <c r="D135" s="7"/>
      <c r="E135" s="7"/>
      <c r="F135" s="2" t="s">
        <v>155</v>
      </c>
      <c r="G135" s="3" t="s">
        <v>114</v>
      </c>
      <c r="H135" s="7"/>
      <c r="I135" s="7"/>
    </row>
    <row r="136" spans="1:9" ht="19.5" customHeight="1" x14ac:dyDescent="0.4">
      <c r="A136" s="119"/>
      <c r="B136" s="106"/>
      <c r="C136" s="16" t="s">
        <v>28</v>
      </c>
      <c r="D136" s="7"/>
      <c r="E136" s="7"/>
      <c r="F136" s="18">
        <v>2.6070601851851849E-3</v>
      </c>
      <c r="G136" s="17">
        <v>2.8247685185185186E-3</v>
      </c>
      <c r="H136" s="7"/>
      <c r="I136" s="7"/>
    </row>
    <row r="137" spans="1:9" ht="19.5" customHeight="1" x14ac:dyDescent="0.4">
      <c r="A137" s="126"/>
      <c r="B137" s="106"/>
      <c r="C137" s="16" t="s">
        <v>29</v>
      </c>
      <c r="D137" s="21"/>
      <c r="E137" s="21"/>
      <c r="F137" s="21">
        <f>IF(OR(F136="-",F136="X"),"-",RANK(F136,($F136:$G136),1))</f>
        <v>1</v>
      </c>
      <c r="G137" s="21">
        <f>IF(OR(G136="-",G136="X"),"-",RANK(G136,($F136:$G136),1))</f>
        <v>2</v>
      </c>
      <c r="H137" s="21"/>
      <c r="I137" s="21"/>
    </row>
    <row r="138" spans="1:9" ht="19.5" customHeight="1" x14ac:dyDescent="0.4">
      <c r="A138" s="127"/>
      <c r="B138" s="107"/>
      <c r="C138" s="16" t="s">
        <v>30</v>
      </c>
      <c r="D138" s="21"/>
      <c r="E138" s="21"/>
      <c r="F138" s="21">
        <f>IF(OR(F136="-",F136="X"),LOOKUP(F136,{"-","X"},{0,-2}),CHOOSE(F137,7,5,4,3,2,1,0,0,0,0,0,0,0,0,0,0,0,0))</f>
        <v>7</v>
      </c>
      <c r="G138" s="21">
        <f>IF(OR(G136="-",G136="X"),LOOKUP(G136,{"-","X"},{0,-2}),CHOOSE(G137,7,5,4,3,2,1,0,0,0,0,0,0,0,0,0,0,0,0))</f>
        <v>5</v>
      </c>
      <c r="H138" s="21"/>
      <c r="I138" s="21"/>
    </row>
    <row r="139" spans="1:9" ht="19.5" customHeight="1" x14ac:dyDescent="0.4">
      <c r="A139" s="131" t="s">
        <v>263</v>
      </c>
      <c r="B139" s="132"/>
      <c r="C139" s="132"/>
      <c r="D139" s="132"/>
      <c r="E139" s="133"/>
      <c r="F139" s="133"/>
      <c r="G139" s="133"/>
      <c r="H139" s="133"/>
      <c r="I139" s="132"/>
    </row>
    <row r="140" spans="1:9" ht="19.5" customHeight="1" x14ac:dyDescent="0.4">
      <c r="A140" s="118">
        <v>32</v>
      </c>
      <c r="B140" s="148" t="s">
        <v>11</v>
      </c>
      <c r="C140" s="12" t="s">
        <v>193</v>
      </c>
      <c r="D140" s="6"/>
      <c r="E140" s="1" t="s">
        <v>74</v>
      </c>
      <c r="F140" s="2" t="s">
        <v>75</v>
      </c>
      <c r="G140" s="13" t="s">
        <v>77</v>
      </c>
      <c r="H140" s="24"/>
      <c r="I140" s="6"/>
    </row>
    <row r="141" spans="1:9" ht="19.5" customHeight="1" x14ac:dyDescent="0.4">
      <c r="A141" s="119"/>
      <c r="B141" s="149"/>
      <c r="C141" s="32" t="s">
        <v>28</v>
      </c>
      <c r="D141" s="24"/>
      <c r="E141" s="20">
        <v>3.0965277777777775E-3</v>
      </c>
      <c r="F141" s="18">
        <v>2.3104166666666668E-3</v>
      </c>
      <c r="G141" s="17">
        <v>2.0771990740740738E-3</v>
      </c>
      <c r="H141" s="24"/>
      <c r="I141" s="24"/>
    </row>
    <row r="142" spans="1:9" ht="19.5" customHeight="1" x14ac:dyDescent="0.4">
      <c r="A142" s="126"/>
      <c r="B142" s="126"/>
      <c r="C142" s="32" t="s">
        <v>29</v>
      </c>
      <c r="D142" s="21"/>
      <c r="E142" s="21">
        <f>IF(OR(E141="-",E141="X"),"-",RANK(E141,($E141:$G141),1))</f>
        <v>3</v>
      </c>
      <c r="F142" s="21">
        <f t="shared" ref="F142:G142" si="28">IF(OR(F141="-",F141="X"),"-",RANK(F141,($E141:$G141),1))</f>
        <v>2</v>
      </c>
      <c r="G142" s="21">
        <f t="shared" si="28"/>
        <v>1</v>
      </c>
      <c r="H142" s="21"/>
      <c r="I142" s="21"/>
    </row>
    <row r="143" spans="1:9" ht="19.5" customHeight="1" x14ac:dyDescent="0.4">
      <c r="A143" s="127"/>
      <c r="B143" s="127"/>
      <c r="C143" s="32" t="s">
        <v>30</v>
      </c>
      <c r="D143" s="21"/>
      <c r="E143" s="21">
        <f>IF(OR(E141="-",E141="X"),LOOKUP(E141,{"-","X"},{0,-2}),CHOOSE(E142,21,15,12,9,6,3,0,0,0,0,0,0,0,0,0,0,0,0))</f>
        <v>12</v>
      </c>
      <c r="F143" s="21">
        <f>IF(OR(F141="-",F141="X"),LOOKUP(F141,{"-","X"},{0,-2}),CHOOSE(F142,21,15,12,9,6,3,0,0,0,0,0,0,0,0,0,0,0,0))</f>
        <v>15</v>
      </c>
      <c r="G143" s="21">
        <f>IF(OR(G141="-",G141="X"),LOOKUP(G141,{"-","X"},{0,-2}),CHOOSE(G142,21,15,12,9,6,3,0,0,0,0,0,0,0,0,0,0,0,0))</f>
        <v>21</v>
      </c>
      <c r="H143" s="21"/>
      <c r="I143" s="21"/>
    </row>
    <row r="144" spans="1:9" ht="19.5" customHeight="1" x14ac:dyDescent="0.4">
      <c r="A144" s="118">
        <v>33</v>
      </c>
      <c r="B144" s="128" t="s">
        <v>12</v>
      </c>
      <c r="C144" s="11" t="s">
        <v>194</v>
      </c>
      <c r="D144" s="6"/>
      <c r="E144" s="13" t="s">
        <v>77</v>
      </c>
      <c r="F144" s="2" t="s">
        <v>75</v>
      </c>
      <c r="G144" s="4" t="s">
        <v>76</v>
      </c>
      <c r="H144" s="23"/>
      <c r="I144" s="24"/>
    </row>
    <row r="145" spans="1:9" ht="19.5" customHeight="1" x14ac:dyDescent="0.4">
      <c r="A145" s="119"/>
      <c r="B145" s="129"/>
      <c r="C145" s="31" t="s">
        <v>28</v>
      </c>
      <c r="D145" s="24"/>
      <c r="E145" s="17">
        <v>1.7849537037037035E-3</v>
      </c>
      <c r="F145" s="18">
        <v>1.9010416666666665E-3</v>
      </c>
      <c r="G145" s="19">
        <v>1.692013888888889E-3</v>
      </c>
      <c r="H145" s="23"/>
      <c r="I145" s="24"/>
    </row>
    <row r="146" spans="1:9" ht="19.5" customHeight="1" x14ac:dyDescent="0.4">
      <c r="A146" s="126"/>
      <c r="B146" s="129"/>
      <c r="C146" s="31" t="s">
        <v>29</v>
      </c>
      <c r="D146" s="21"/>
      <c r="E146" s="21">
        <f>IF(OR(E145="-",E145="X"),"-",RANK(E145,($E145:$G145),1))</f>
        <v>2</v>
      </c>
      <c r="F146" s="21">
        <f t="shared" ref="F146:G146" si="29">IF(OR(F145="-",F145="X"),"-",RANK(F145,($E145:$G145),1))</f>
        <v>3</v>
      </c>
      <c r="G146" s="21">
        <f t="shared" si="29"/>
        <v>1</v>
      </c>
      <c r="H146" s="21"/>
      <c r="I146" s="21"/>
    </row>
    <row r="147" spans="1:9" ht="19.5" customHeight="1" x14ac:dyDescent="0.4">
      <c r="A147" s="127"/>
      <c r="B147" s="130"/>
      <c r="C147" s="31" t="s">
        <v>30</v>
      </c>
      <c r="D147" s="21"/>
      <c r="E147" s="21">
        <f>IF(OR(E145="-",E145="X"),LOOKUP(E145,{"-","X"},{0,-2}),CHOOSE(E146,14,10,8,6,4,2,0,0,0,0,0,0,0,0,0,0,0,0))</f>
        <v>10</v>
      </c>
      <c r="F147" s="21">
        <f>IF(OR(F145="-",F145="X"),LOOKUP(F145,{"-","X"},{0,-2}),CHOOSE(F146,14,10,8,6,4,2,0,0,0,0,0,0,0,0,0,0,0,0))</f>
        <v>8</v>
      </c>
      <c r="G147" s="21">
        <f>IF(OR(G145="-",G145="X"),LOOKUP(G145,{"-","X"},{0,-2}),CHOOSE(G146,14,10,8,6,4,2,0,0,0,0,0,0,0,0,0,0,0,0))</f>
        <v>14</v>
      </c>
      <c r="H147" s="21"/>
      <c r="I147" s="21"/>
    </row>
    <row r="148" spans="1:9" ht="19.5" customHeight="1" x14ac:dyDescent="0.4">
      <c r="A148" s="118">
        <v>34</v>
      </c>
      <c r="B148" s="128" t="s">
        <v>70</v>
      </c>
      <c r="C148" s="11" t="s">
        <v>195</v>
      </c>
      <c r="D148" s="24"/>
      <c r="E148" s="1" t="s">
        <v>74</v>
      </c>
      <c r="F148" s="2" t="s">
        <v>75</v>
      </c>
      <c r="G148" s="4" t="s">
        <v>76</v>
      </c>
      <c r="H148" s="13" t="s">
        <v>77</v>
      </c>
      <c r="I148" s="24"/>
    </row>
    <row r="149" spans="1:9" ht="19.5" customHeight="1" x14ac:dyDescent="0.4">
      <c r="A149" s="119"/>
      <c r="B149" s="129"/>
      <c r="C149" s="31" t="s">
        <v>28</v>
      </c>
      <c r="D149" s="24"/>
      <c r="E149" s="20">
        <v>6.7114583333333332E-3</v>
      </c>
      <c r="F149" s="18">
        <v>5.288310185185185E-3</v>
      </c>
      <c r="G149" s="19">
        <v>4.7482638888888895E-3</v>
      </c>
      <c r="H149" s="17">
        <v>4.7898148148148145E-3</v>
      </c>
      <c r="I149" s="24"/>
    </row>
    <row r="150" spans="1:9" ht="19.5" customHeight="1" x14ac:dyDescent="0.4">
      <c r="A150" s="126"/>
      <c r="B150" s="129"/>
      <c r="C150" s="31" t="s">
        <v>29</v>
      </c>
      <c r="D150" s="21"/>
      <c r="E150" s="21">
        <f>IF(OR(E149="-",E149="X"),"-",RANK(E149,($E149:$H149),1))</f>
        <v>4</v>
      </c>
      <c r="F150" s="21">
        <f t="shared" ref="F150:H150" si="30">IF(OR(F149="-",F149="X"),"-",RANK(F149,($E149:$H149),1))</f>
        <v>3</v>
      </c>
      <c r="G150" s="21">
        <f t="shared" si="30"/>
        <v>1</v>
      </c>
      <c r="H150" s="21">
        <f t="shared" si="30"/>
        <v>2</v>
      </c>
      <c r="I150" s="21"/>
    </row>
    <row r="151" spans="1:9" ht="19.5" customHeight="1" x14ac:dyDescent="0.4">
      <c r="A151" s="127"/>
      <c r="B151" s="130"/>
      <c r="C151" s="31" t="s">
        <v>30</v>
      </c>
      <c r="D151" s="21"/>
      <c r="E151" s="21">
        <f>IF(OR(E149="-",E149="X"),LOOKUP(E149,{"-","X"},{0,-2}),CHOOSE(E150,28,20,16,12,8,4,0,0,0,0,0,0,0,0,0,0,0,0))</f>
        <v>12</v>
      </c>
      <c r="F151" s="21">
        <f>IF(OR(F149="-",F149="X"),LOOKUP(F149,{"-","X"},{0,-2}),CHOOSE(F150,28,20,16,12,8,4,0,0,0,0,0,0,0,0,0,0,0,0))</f>
        <v>16</v>
      </c>
      <c r="G151" s="21">
        <f>IF(OR(G149="-",G149="X"),LOOKUP(G149,{"-","X"},{0,-2}),CHOOSE(G150,28,20,16,12,8,4,0,0,0,0,0,0,0,0,0,0,0,0))</f>
        <v>28</v>
      </c>
      <c r="H151" s="21">
        <f>IF(OR(H149="-",H149="X"),LOOKUP(H149,{"-","X"},{0,-2}),CHOOSE(H150,28,20,16,12,8,4,0,0,0,0,0,0,0,0,0,0,0,0))</f>
        <v>20</v>
      </c>
      <c r="I151" s="21"/>
    </row>
    <row r="152" spans="1:9" ht="19.5" customHeight="1" x14ac:dyDescent="0.4">
      <c r="A152" s="33"/>
      <c r="B152" s="34" t="s">
        <v>71</v>
      </c>
      <c r="C152" s="35"/>
      <c r="D152" s="36"/>
      <c r="E152" s="41" t="s">
        <v>230</v>
      </c>
      <c r="F152" s="42" t="s">
        <v>231</v>
      </c>
      <c r="G152" s="43" t="s">
        <v>232</v>
      </c>
      <c r="H152" s="44" t="s">
        <v>233</v>
      </c>
    </row>
    <row r="153" spans="1:9" ht="19.5" customHeight="1" x14ac:dyDescent="0.4">
      <c r="A153" s="33"/>
      <c r="B153" s="35" t="s">
        <v>202</v>
      </c>
      <c r="C153" s="35"/>
      <c r="D153" s="36"/>
      <c r="E153" s="37">
        <f ca="1">SumByGPoint(E152,($C140:$C151,$C59:$C138, $C2:$C57))</f>
        <v>88</v>
      </c>
      <c r="F153" s="42">
        <f ca="1">SumByGPoint(F152,($C140:$C151,$C59:$C138, $C2:$C57))</f>
        <v>198</v>
      </c>
      <c r="G153" s="43">
        <f ca="1">SumByGPoint(G152,($C140:$C151,$C59:$C138, $C2:$C57))</f>
        <v>174</v>
      </c>
      <c r="H153" s="44">
        <f ca="1">SumByGPoint(H152,($C140:$C151,$C59:$C138, $C2:$C57))</f>
        <v>292</v>
      </c>
      <c r="I153" s="36"/>
    </row>
    <row r="154" spans="1:9" ht="19.5" customHeight="1" x14ac:dyDescent="0.4">
      <c r="A154" s="33"/>
      <c r="B154" s="35" t="s">
        <v>201</v>
      </c>
      <c r="C154" s="35"/>
      <c r="D154" s="36"/>
      <c r="E154" s="37"/>
      <c r="F154" s="38"/>
      <c r="G154" s="39"/>
      <c r="H154" s="40"/>
      <c r="I154" s="36"/>
    </row>
    <row r="155" spans="1:9" ht="19.5" customHeight="1" x14ac:dyDescent="0.4">
      <c r="A155" s="33"/>
      <c r="B155" s="35" t="s">
        <v>13</v>
      </c>
      <c r="C155" s="35"/>
      <c r="D155" s="36"/>
      <c r="E155" s="37">
        <f ca="1">SUM(E153,E154)</f>
        <v>88</v>
      </c>
      <c r="F155" s="42">
        <f t="shared" ref="F155:H155" ca="1" si="31">SUM(F153,F154)</f>
        <v>198</v>
      </c>
      <c r="G155" s="43">
        <f t="shared" ca="1" si="31"/>
        <v>174</v>
      </c>
      <c r="H155" s="44">
        <f t="shared" ca="1" si="31"/>
        <v>292</v>
      </c>
      <c r="I155" s="36"/>
    </row>
    <row r="156" spans="1:9" ht="19.5" customHeight="1" x14ac:dyDescent="0.4">
      <c r="A156" s="33"/>
      <c r="B156" s="35" t="s">
        <v>72</v>
      </c>
      <c r="C156" s="35"/>
      <c r="D156" s="36"/>
      <c r="E156" s="37">
        <f ca="1">RANK(E155,($E155:$H155))</f>
        <v>4</v>
      </c>
      <c r="F156" s="42">
        <f t="shared" ref="F156:H156" ca="1" si="32">RANK(F155,($E155:$H155))</f>
        <v>2</v>
      </c>
      <c r="G156" s="43">
        <f t="shared" ca="1" si="32"/>
        <v>3</v>
      </c>
      <c r="H156" s="44">
        <f t="shared" ca="1" si="32"/>
        <v>1</v>
      </c>
      <c r="I156" s="36"/>
    </row>
    <row r="157" spans="1:9" ht="19.5" customHeight="1" x14ac:dyDescent="0.4"/>
    <row r="158" spans="1:9" ht="19.5" customHeight="1" x14ac:dyDescent="0.4"/>
    <row r="159" spans="1:9" ht="19.5" customHeight="1" x14ac:dyDescent="0.4"/>
    <row r="160" spans="1:9" ht="19.5" customHeight="1" x14ac:dyDescent="0.4"/>
    <row r="161" ht="19.5" customHeight="1" x14ac:dyDescent="0.4"/>
    <row r="162" ht="19.5" customHeight="1" x14ac:dyDescent="0.4"/>
    <row r="163" ht="19.5" customHeight="1" x14ac:dyDescent="0.4"/>
    <row r="164" ht="19.5" customHeight="1" x14ac:dyDescent="0.4"/>
    <row r="165" ht="19.5" customHeight="1" x14ac:dyDescent="0.4"/>
    <row r="166" ht="19.5" customHeight="1" x14ac:dyDescent="0.4"/>
    <row r="167" ht="19.5" customHeight="1" x14ac:dyDescent="0.4"/>
    <row r="168" ht="19.5" customHeight="1" x14ac:dyDescent="0.4"/>
    <row r="169" ht="19.5" customHeight="1" x14ac:dyDescent="0.4"/>
    <row r="170" ht="19.5" customHeight="1" x14ac:dyDescent="0.4"/>
    <row r="171" ht="19.5" customHeight="1" x14ac:dyDescent="0.4"/>
    <row r="172" ht="19.5" customHeight="1" x14ac:dyDescent="0.4"/>
    <row r="176" ht="16.5" customHeight="1" x14ac:dyDescent="0.4"/>
    <row r="177" spans="1:9" ht="16.5" customHeight="1" x14ac:dyDescent="0.4"/>
    <row r="178" spans="1:9" ht="16.5" customHeight="1" x14ac:dyDescent="0.4"/>
    <row r="179" spans="1:9" ht="16.5" customHeight="1" x14ac:dyDescent="0.4"/>
    <row r="181" spans="1:9" ht="16.5" customHeight="1" x14ac:dyDescent="0.4">
      <c r="A181" s="15"/>
      <c r="B181" s="15"/>
      <c r="C181" s="15"/>
      <c r="D181" s="15"/>
      <c r="E181" s="15"/>
      <c r="F181" s="15"/>
      <c r="G181" s="15"/>
      <c r="H181" s="15"/>
      <c r="I181" s="15"/>
    </row>
    <row r="182" spans="1:9" ht="16.5" customHeight="1" x14ac:dyDescent="0.4">
      <c r="A182" s="15"/>
      <c r="B182" s="15"/>
      <c r="C182" s="15"/>
      <c r="D182" s="15"/>
      <c r="E182" s="15"/>
      <c r="F182" s="15"/>
      <c r="G182" s="15"/>
      <c r="H182" s="15"/>
      <c r="I182" s="15"/>
    </row>
    <row r="183" spans="1:9" ht="16.5" customHeight="1" x14ac:dyDescent="0.4">
      <c r="A183" s="15"/>
      <c r="B183" s="15"/>
      <c r="C183" s="15"/>
      <c r="D183" s="15"/>
      <c r="E183" s="15"/>
      <c r="F183" s="15"/>
      <c r="G183" s="15"/>
      <c r="H183" s="15"/>
      <c r="I183" s="15"/>
    </row>
    <row r="184" spans="1:9" ht="16.5" customHeight="1" x14ac:dyDescent="0.4">
      <c r="A184" s="15"/>
      <c r="B184" s="15"/>
      <c r="C184" s="15"/>
      <c r="D184" s="15"/>
      <c r="E184" s="15"/>
      <c r="F184" s="15"/>
      <c r="G184" s="15"/>
      <c r="H184" s="15"/>
      <c r="I184" s="15"/>
    </row>
    <row r="185" spans="1:9" x14ac:dyDescent="0.4">
      <c r="A185" s="15"/>
      <c r="B185" s="15"/>
      <c r="C185" s="15"/>
      <c r="D185" s="15"/>
      <c r="E185" s="15"/>
      <c r="F185" s="15"/>
      <c r="G185" s="15"/>
      <c r="H185" s="15"/>
      <c r="I185" s="15"/>
    </row>
    <row r="186" spans="1:9" ht="16.5" customHeight="1" x14ac:dyDescent="0.4">
      <c r="A186" s="15"/>
      <c r="B186" s="15"/>
      <c r="C186" s="15"/>
      <c r="D186" s="15"/>
      <c r="E186" s="15"/>
      <c r="F186" s="15"/>
      <c r="G186" s="15"/>
      <c r="H186" s="15"/>
      <c r="I186" s="15"/>
    </row>
    <row r="187" spans="1:9" ht="16.5" customHeight="1" x14ac:dyDescent="0.4"/>
    <row r="188" spans="1:9" ht="16.5" customHeight="1" x14ac:dyDescent="0.4"/>
    <row r="189" spans="1:9" ht="16.5" customHeight="1" x14ac:dyDescent="0.4"/>
    <row r="191" spans="1:9" ht="16.5" customHeight="1" x14ac:dyDescent="0.4"/>
    <row r="192" spans="1:9" ht="16.5" customHeight="1" x14ac:dyDescent="0.4"/>
    <row r="193" spans="10:10" ht="16.5" customHeight="1" x14ac:dyDescent="0.4"/>
    <row r="194" spans="10:10" ht="16.5" customHeight="1" x14ac:dyDescent="0.4"/>
    <row r="195" spans="10:10" ht="16.5" customHeight="1" x14ac:dyDescent="0.4"/>
    <row r="196" spans="10:10" ht="16.5" customHeight="1" x14ac:dyDescent="0.4"/>
    <row r="197" spans="10:10" ht="16.5" customHeight="1" x14ac:dyDescent="0.4"/>
    <row r="198" spans="10:10" ht="16.5" customHeight="1" x14ac:dyDescent="0.4"/>
    <row r="199" spans="10:10" ht="16.5" customHeight="1" x14ac:dyDescent="0.4"/>
    <row r="200" spans="10:10" ht="16.5" customHeight="1" x14ac:dyDescent="0.4">
      <c r="J200"/>
    </row>
    <row r="201" spans="10:10" ht="16.5" customHeight="1" x14ac:dyDescent="0.4"/>
    <row r="202" spans="10:10" ht="16.5" customHeight="1" x14ac:dyDescent="0.4"/>
    <row r="203" spans="10:10" ht="19.5" customHeight="1" x14ac:dyDescent="0.4"/>
  </sheetData>
  <sheetProtection selectLockedCells="1" selectUnlockedCells="1"/>
  <mergeCells count="58">
    <mergeCell ref="A148:A151"/>
    <mergeCell ref="B148:B151"/>
    <mergeCell ref="A135:A138"/>
    <mergeCell ref="B135:B138"/>
    <mergeCell ref="A139:I139"/>
    <mergeCell ref="A140:A143"/>
    <mergeCell ref="B140:B143"/>
    <mergeCell ref="A144:A147"/>
    <mergeCell ref="B144:B147"/>
    <mergeCell ref="A123:A126"/>
    <mergeCell ref="B123:B126"/>
    <mergeCell ref="A127:A130"/>
    <mergeCell ref="B127:B130"/>
    <mergeCell ref="A131:A134"/>
    <mergeCell ref="B131:B134"/>
    <mergeCell ref="A103:A110"/>
    <mergeCell ref="B103:B110"/>
    <mergeCell ref="A111:A118"/>
    <mergeCell ref="B111:B118"/>
    <mergeCell ref="A119:A122"/>
    <mergeCell ref="B119:B122"/>
    <mergeCell ref="A87:A90"/>
    <mergeCell ref="B87:B90"/>
    <mergeCell ref="A91:A98"/>
    <mergeCell ref="B91:B98"/>
    <mergeCell ref="A99:A102"/>
    <mergeCell ref="B99:B102"/>
    <mergeCell ref="A71:A74"/>
    <mergeCell ref="B71:B74"/>
    <mergeCell ref="A75:A82"/>
    <mergeCell ref="B75:B82"/>
    <mergeCell ref="A83:A86"/>
    <mergeCell ref="B83:B86"/>
    <mergeCell ref="A67:A70"/>
    <mergeCell ref="B67:B70"/>
    <mergeCell ref="A34:A41"/>
    <mergeCell ref="B34:B41"/>
    <mergeCell ref="A42:A49"/>
    <mergeCell ref="B42:B49"/>
    <mergeCell ref="A50:A53"/>
    <mergeCell ref="B50:B53"/>
    <mergeCell ref="A54:A57"/>
    <mergeCell ref="B54:B57"/>
    <mergeCell ref="A58:I58"/>
    <mergeCell ref="A59:A66"/>
    <mergeCell ref="B59:B66"/>
    <mergeCell ref="A18:A21"/>
    <mergeCell ref="B18:B21"/>
    <mergeCell ref="A22:A29"/>
    <mergeCell ref="B22:B29"/>
    <mergeCell ref="A30:A33"/>
    <mergeCell ref="B30:B33"/>
    <mergeCell ref="A2:A5"/>
    <mergeCell ref="B2:B5"/>
    <mergeCell ref="A6:A13"/>
    <mergeCell ref="B6:B13"/>
    <mergeCell ref="A14:A17"/>
    <mergeCell ref="B14:B17"/>
  </mergeCells>
  <phoneticPr fontId="5" type="noConversion"/>
  <pageMargins left="0.25" right="0.25" top="0.75" bottom="0.75" header="0.3" footer="0.3"/>
  <pageSetup paperSize="9" scale="61" fitToHeight="0" orientation="landscape" r:id="rId1"/>
  <headerFooter>
    <oddHeader>&amp;A</oddHeader>
    <oddFooter>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65"/>
  <sheetViews>
    <sheetView zoomScale="85" zoomScaleNormal="85" zoomScaleSheetLayoutView="100" zoomScalePageLayoutView="85" workbookViewId="0">
      <pane ySplit="1" topLeftCell="A20" activePane="bottomLeft" state="frozen"/>
      <selection pane="bottomLeft" activeCell="F3" sqref="F3"/>
    </sheetView>
  </sheetViews>
  <sheetFormatPr defaultColWidth="25.6328125" defaultRowHeight="17" x14ac:dyDescent="0.4"/>
  <cols>
    <col min="1" max="1" width="11.36328125" style="15" customWidth="1"/>
    <col min="2" max="2" width="41.453125" style="15" customWidth="1"/>
    <col min="3" max="3" width="15.6328125" style="15" customWidth="1"/>
    <col min="4" max="14" width="27.6328125" style="15" customWidth="1"/>
    <col min="15" max="21" width="2.453125" style="15" bestFit="1" customWidth="1"/>
    <col min="22" max="16384" width="25.6328125" style="15"/>
  </cols>
  <sheetData>
    <row r="1" spans="1:9" ht="19.5" x14ac:dyDescent="0.4">
      <c r="A1" s="14" t="s">
        <v>229</v>
      </c>
      <c r="B1" s="14" t="s">
        <v>228</v>
      </c>
      <c r="C1" s="14" t="s">
        <v>227</v>
      </c>
      <c r="D1" s="14" t="s">
        <v>230</v>
      </c>
      <c r="E1" s="14" t="s">
        <v>240</v>
      </c>
      <c r="F1" s="14" t="s">
        <v>242</v>
      </c>
      <c r="G1" s="14" t="s">
        <v>233</v>
      </c>
    </row>
    <row r="2" spans="1:9" ht="19.5" customHeight="1" x14ac:dyDescent="0.4">
      <c r="A2" s="79">
        <v>1</v>
      </c>
      <c r="B2" s="16" t="s">
        <v>226</v>
      </c>
      <c r="C2" s="16" t="s">
        <v>206</v>
      </c>
      <c r="D2" s="71"/>
      <c r="E2" s="70"/>
      <c r="F2" s="69"/>
      <c r="G2" s="68"/>
    </row>
    <row r="3" spans="1:9" s="22" customFormat="1" ht="19.5" customHeight="1" x14ac:dyDescent="0.4">
      <c r="A3" s="79">
        <v>2</v>
      </c>
      <c r="B3" s="16" t="s">
        <v>225</v>
      </c>
      <c r="C3" s="16" t="s">
        <v>206</v>
      </c>
      <c r="D3" s="71"/>
      <c r="E3" s="70"/>
      <c r="F3" s="69"/>
      <c r="G3" s="68"/>
      <c r="H3" s="15"/>
      <c r="I3" s="15"/>
    </row>
    <row r="4" spans="1:9" ht="19.5" customHeight="1" x14ac:dyDescent="0.4">
      <c r="A4" s="78" t="s">
        <v>105</v>
      </c>
      <c r="B4" s="67" t="s">
        <v>237</v>
      </c>
      <c r="C4" s="67" t="s">
        <v>261</v>
      </c>
      <c r="D4" s="71"/>
      <c r="E4" s="70"/>
      <c r="F4" s="69"/>
      <c r="G4" s="68"/>
    </row>
    <row r="5" spans="1:9" ht="19.5" customHeight="1" x14ac:dyDescent="0.4">
      <c r="A5" s="78" t="s">
        <v>106</v>
      </c>
      <c r="B5" s="66" t="s">
        <v>224</v>
      </c>
      <c r="C5" s="26" t="s">
        <v>206</v>
      </c>
      <c r="D5" s="71"/>
      <c r="E5" s="70"/>
      <c r="F5" s="69"/>
      <c r="G5" s="68"/>
    </row>
    <row r="6" spans="1:9" ht="19.5" customHeight="1" x14ac:dyDescent="0.4">
      <c r="A6" s="78" t="s">
        <v>234</v>
      </c>
      <c r="B6" s="16" t="s">
        <v>223</v>
      </c>
      <c r="C6" s="16" t="s">
        <v>206</v>
      </c>
      <c r="D6" s="71"/>
      <c r="E6" s="70"/>
      <c r="F6" s="69"/>
      <c r="G6" s="68"/>
    </row>
    <row r="7" spans="1:9" ht="19.5" customHeight="1" x14ac:dyDescent="0.4">
      <c r="A7" s="78" t="s">
        <v>235</v>
      </c>
      <c r="B7" s="63" t="s">
        <v>222</v>
      </c>
      <c r="C7" s="16" t="s">
        <v>206</v>
      </c>
      <c r="D7" s="71"/>
      <c r="E7" s="70"/>
      <c r="F7" s="69"/>
      <c r="G7" s="68"/>
    </row>
    <row r="8" spans="1:9" ht="19.5" customHeight="1" x14ac:dyDescent="0.4">
      <c r="A8" s="86" t="s">
        <v>236</v>
      </c>
      <c r="B8" s="85" t="s">
        <v>221</v>
      </c>
      <c r="C8" s="85" t="s">
        <v>206</v>
      </c>
      <c r="D8" s="87"/>
      <c r="E8" s="88"/>
      <c r="F8" s="89"/>
      <c r="G8" s="90"/>
    </row>
    <row r="9" spans="1:9" ht="19.5" customHeight="1" x14ac:dyDescent="0.4">
      <c r="A9" s="80" t="s">
        <v>116</v>
      </c>
      <c r="B9" s="64" t="s">
        <v>115</v>
      </c>
      <c r="C9" s="65" t="s">
        <v>206</v>
      </c>
      <c r="D9" s="81"/>
      <c r="E9" s="82"/>
      <c r="F9" s="83"/>
      <c r="G9" s="84"/>
    </row>
    <row r="10" spans="1:9" ht="19.5" customHeight="1" x14ac:dyDescent="0.4">
      <c r="A10" s="79" t="s">
        <v>238</v>
      </c>
      <c r="B10" s="31" t="s">
        <v>117</v>
      </c>
      <c r="C10" s="31" t="s">
        <v>220</v>
      </c>
      <c r="D10" s="71"/>
      <c r="E10" s="70"/>
      <c r="F10" s="69"/>
      <c r="G10" s="68"/>
    </row>
    <row r="11" spans="1:9" ht="19.5" customHeight="1" x14ac:dyDescent="0.4">
      <c r="A11" s="79" t="s">
        <v>239</v>
      </c>
      <c r="B11" s="31" t="s">
        <v>0</v>
      </c>
      <c r="C11" s="31" t="s">
        <v>206</v>
      </c>
      <c r="D11" s="71"/>
      <c r="E11" s="70"/>
      <c r="F11" s="69"/>
      <c r="G11" s="68"/>
    </row>
    <row r="12" spans="1:9" ht="19.5" customHeight="1" x14ac:dyDescent="0.4">
      <c r="A12" s="131" t="s">
        <v>39</v>
      </c>
      <c r="B12" s="132"/>
      <c r="C12" s="132"/>
      <c r="D12" s="132"/>
      <c r="E12" s="133"/>
      <c r="F12" s="133"/>
      <c r="G12" s="133"/>
      <c r="H12" s="133"/>
      <c r="I12" s="132"/>
    </row>
    <row r="13" spans="1:9" ht="19.5" customHeight="1" x14ac:dyDescent="0.4">
      <c r="A13" s="79" t="s">
        <v>246</v>
      </c>
      <c r="B13" s="67" t="s">
        <v>121</v>
      </c>
      <c r="C13" s="67" t="s">
        <v>261</v>
      </c>
      <c r="D13" s="71"/>
      <c r="E13" s="70"/>
      <c r="F13" s="69"/>
      <c r="G13" s="68"/>
    </row>
    <row r="14" spans="1:9" ht="19.5" customHeight="1" x14ac:dyDescent="0.4">
      <c r="A14" s="79" t="s">
        <v>247</v>
      </c>
      <c r="B14" s="26" t="s">
        <v>219</v>
      </c>
      <c r="C14" s="26" t="s">
        <v>206</v>
      </c>
      <c r="D14" s="71"/>
      <c r="E14" s="70"/>
      <c r="F14" s="69"/>
      <c r="G14" s="68"/>
    </row>
    <row r="15" spans="1:9" ht="19.5" customHeight="1" x14ac:dyDescent="0.4">
      <c r="A15" s="79" t="s">
        <v>248</v>
      </c>
      <c r="B15" s="26" t="s">
        <v>218</v>
      </c>
      <c r="C15" s="26" t="s">
        <v>206</v>
      </c>
      <c r="D15" s="71"/>
      <c r="E15" s="70"/>
      <c r="F15" s="69"/>
      <c r="G15" s="68"/>
      <c r="H15"/>
    </row>
    <row r="16" spans="1:9" ht="19.5" customHeight="1" x14ac:dyDescent="0.4">
      <c r="A16" s="79" t="s">
        <v>262</v>
      </c>
      <c r="B16" s="16" t="s">
        <v>217</v>
      </c>
      <c r="C16" s="16" t="s">
        <v>206</v>
      </c>
      <c r="D16" s="71"/>
      <c r="E16" s="70"/>
      <c r="F16" s="69"/>
      <c r="G16" s="68"/>
    </row>
    <row r="17" spans="1:9" ht="19.5" customHeight="1" x14ac:dyDescent="0.4">
      <c r="A17" s="79" t="s">
        <v>249</v>
      </c>
      <c r="B17" s="16" t="s">
        <v>216</v>
      </c>
      <c r="C17" s="16" t="s">
        <v>206</v>
      </c>
      <c r="D17" s="71"/>
      <c r="E17" s="70"/>
      <c r="F17" s="69"/>
      <c r="G17" s="68"/>
    </row>
    <row r="18" spans="1:9" ht="19.5" customHeight="1" x14ac:dyDescent="0.4">
      <c r="A18" s="78" t="s">
        <v>137</v>
      </c>
      <c r="B18" s="77" t="s">
        <v>199</v>
      </c>
      <c r="C18" s="16" t="s">
        <v>206</v>
      </c>
      <c r="D18" s="71"/>
      <c r="E18" s="70"/>
      <c r="F18" s="69"/>
      <c r="G18" s="68"/>
    </row>
    <row r="19" spans="1:9" ht="19.5" customHeight="1" x14ac:dyDescent="0.4">
      <c r="A19" s="79" t="s">
        <v>259</v>
      </c>
      <c r="B19" s="26" t="s">
        <v>215</v>
      </c>
      <c r="C19" s="26" t="s">
        <v>206</v>
      </c>
      <c r="D19" s="71"/>
      <c r="E19" s="70"/>
      <c r="F19" s="69"/>
      <c r="G19" s="68"/>
    </row>
    <row r="20" spans="1:9" ht="19.5" customHeight="1" x14ac:dyDescent="0.4">
      <c r="A20" s="79" t="s">
        <v>260</v>
      </c>
      <c r="B20" s="26" t="s">
        <v>214</v>
      </c>
      <c r="C20" s="26" t="s">
        <v>206</v>
      </c>
      <c r="D20" s="71"/>
      <c r="E20" s="70"/>
      <c r="F20" s="69"/>
      <c r="G20" s="68"/>
    </row>
    <row r="21" spans="1:9" ht="19.5" customHeight="1" x14ac:dyDescent="0.4">
      <c r="A21" s="79" t="s">
        <v>258</v>
      </c>
      <c r="B21" s="16" t="s">
        <v>213</v>
      </c>
      <c r="C21" s="16" t="s">
        <v>206</v>
      </c>
      <c r="D21" s="71"/>
      <c r="E21" s="70"/>
      <c r="F21" s="69"/>
      <c r="G21" s="68"/>
    </row>
    <row r="22" spans="1:9" ht="19.5" customHeight="1" x14ac:dyDescent="0.4">
      <c r="A22" s="79" t="s">
        <v>257</v>
      </c>
      <c r="B22" s="16" t="s">
        <v>212</v>
      </c>
      <c r="C22" s="16" t="s">
        <v>206</v>
      </c>
      <c r="D22" s="71"/>
      <c r="E22" s="70"/>
      <c r="F22" s="69"/>
      <c r="G22" s="68"/>
    </row>
    <row r="23" spans="1:9" ht="19.5" customHeight="1" x14ac:dyDescent="0.4">
      <c r="A23" s="79" t="s">
        <v>256</v>
      </c>
      <c r="B23" s="26" t="s">
        <v>211</v>
      </c>
      <c r="C23" s="26" t="s">
        <v>206</v>
      </c>
      <c r="D23" s="71"/>
      <c r="E23" s="70"/>
      <c r="F23" s="69"/>
      <c r="G23" s="68"/>
    </row>
    <row r="24" spans="1:9" ht="19.5" customHeight="1" x14ac:dyDescent="0.4">
      <c r="A24" s="79" t="s">
        <v>255</v>
      </c>
      <c r="B24" s="16" t="s">
        <v>210</v>
      </c>
      <c r="C24" s="16" t="s">
        <v>206</v>
      </c>
      <c r="D24" s="71"/>
      <c r="E24" s="70"/>
      <c r="F24" s="69"/>
      <c r="G24" s="68"/>
    </row>
    <row r="25" spans="1:9" ht="19.5" customHeight="1" x14ac:dyDescent="0.4">
      <c r="A25" s="79" t="s">
        <v>254</v>
      </c>
      <c r="B25" s="16" t="s">
        <v>67</v>
      </c>
      <c r="C25" s="16" t="s">
        <v>206</v>
      </c>
      <c r="D25" s="71"/>
      <c r="E25" s="70"/>
      <c r="F25" s="69"/>
      <c r="G25" s="68"/>
    </row>
    <row r="26" spans="1:9" ht="19.5" customHeight="1" x14ac:dyDescent="0.4">
      <c r="A26" s="79" t="s">
        <v>253</v>
      </c>
      <c r="B26" s="16" t="s">
        <v>68</v>
      </c>
      <c r="C26" s="16" t="s">
        <v>206</v>
      </c>
      <c r="D26" s="71"/>
      <c r="E26" s="70"/>
      <c r="F26" s="69"/>
      <c r="G26" s="68"/>
    </row>
    <row r="27" spans="1:9" ht="19.5" customHeight="1" x14ac:dyDescent="0.4">
      <c r="A27" s="131" t="s">
        <v>39</v>
      </c>
      <c r="B27" s="132"/>
      <c r="C27" s="132"/>
      <c r="D27" s="132"/>
      <c r="E27" s="133"/>
      <c r="F27" s="133"/>
      <c r="G27" s="133"/>
      <c r="H27" s="133"/>
      <c r="I27" s="132"/>
    </row>
    <row r="28" spans="1:9" ht="19.5" customHeight="1" x14ac:dyDescent="0.4">
      <c r="A28" s="79" t="s">
        <v>252</v>
      </c>
      <c r="B28" s="16" t="s">
        <v>69</v>
      </c>
      <c r="C28" s="16" t="s">
        <v>206</v>
      </c>
      <c r="D28" s="71"/>
      <c r="E28" s="70"/>
      <c r="F28" s="69"/>
      <c r="G28" s="68"/>
    </row>
    <row r="29" spans="1:9" ht="19.5" customHeight="1" x14ac:dyDescent="0.4">
      <c r="A29" s="79" t="s">
        <v>251</v>
      </c>
      <c r="B29" s="76" t="s">
        <v>209</v>
      </c>
      <c r="C29" s="32" t="s">
        <v>206</v>
      </c>
      <c r="D29" s="71"/>
      <c r="E29" s="70"/>
      <c r="F29" s="69"/>
      <c r="G29" s="68"/>
    </row>
    <row r="30" spans="1:9" ht="19.5" customHeight="1" x14ac:dyDescent="0.4">
      <c r="A30" s="79" t="s">
        <v>250</v>
      </c>
      <c r="B30" s="31" t="s">
        <v>208</v>
      </c>
      <c r="C30" s="31" t="s">
        <v>206</v>
      </c>
      <c r="D30" s="71"/>
      <c r="E30" s="70"/>
      <c r="F30" s="69"/>
      <c r="G30" s="68"/>
    </row>
    <row r="31" spans="1:9" ht="19.5" customHeight="1" x14ac:dyDescent="0.4">
      <c r="A31" s="79" t="s">
        <v>245</v>
      </c>
      <c r="B31" s="31" t="s">
        <v>207</v>
      </c>
      <c r="C31" s="31" t="s">
        <v>206</v>
      </c>
      <c r="D31" s="71"/>
      <c r="E31" s="70"/>
      <c r="F31" s="69"/>
      <c r="G31" s="68"/>
    </row>
    <row r="32" spans="1:9" ht="19.5" customHeight="1" x14ac:dyDescent="0.4">
      <c r="A32" s="33"/>
      <c r="B32" s="35"/>
      <c r="C32" s="35"/>
      <c r="D32" s="41" t="s">
        <v>230</v>
      </c>
      <c r="E32" s="42" t="s">
        <v>241</v>
      </c>
      <c r="F32" s="43" t="s">
        <v>232</v>
      </c>
      <c r="G32" s="44" t="s">
        <v>243</v>
      </c>
    </row>
    <row r="33" spans="1:7" ht="19.5" customHeight="1" x14ac:dyDescent="0.4">
      <c r="A33" s="33"/>
      <c r="B33" s="35" t="s">
        <v>205</v>
      </c>
      <c r="C33" s="35"/>
      <c r="D33" s="71">
        <f>SUM(D2:D31)</f>
        <v>0</v>
      </c>
      <c r="E33" s="70">
        <f>SUM(E2:E31)</f>
        <v>0</v>
      </c>
      <c r="F33" s="69">
        <f>SUM(F2:F31)</f>
        <v>0</v>
      </c>
      <c r="G33" s="68">
        <f>SUM(G2:G31)</f>
        <v>0</v>
      </c>
    </row>
    <row r="34" spans="1:7" ht="19.5" customHeight="1" x14ac:dyDescent="0.4">
      <c r="A34" s="33"/>
      <c r="B34" s="35" t="s">
        <v>244</v>
      </c>
      <c r="C34" s="35"/>
      <c r="D34" s="75"/>
      <c r="E34" s="74"/>
      <c r="F34" s="73"/>
      <c r="G34" s="72"/>
    </row>
    <row r="35" spans="1:7" ht="19.5" x14ac:dyDescent="0.4">
      <c r="A35" s="33"/>
      <c r="B35" s="35" t="s">
        <v>204</v>
      </c>
      <c r="C35" s="35"/>
      <c r="D35" s="71">
        <f>D33-D34</f>
        <v>0</v>
      </c>
      <c r="E35" s="70">
        <f>E33-E34</f>
        <v>0</v>
      </c>
      <c r="F35" s="69">
        <f>F33-F34</f>
        <v>0</v>
      </c>
      <c r="G35" s="68">
        <f>G33-G34</f>
        <v>0</v>
      </c>
    </row>
    <row r="36" spans="1:7" ht="19.5" x14ac:dyDescent="0.4">
      <c r="A36" s="33"/>
      <c r="B36" s="35" t="s">
        <v>203</v>
      </c>
      <c r="C36" s="35"/>
      <c r="D36" s="71">
        <f>RANK(D35,$D35:$G35,0)</f>
        <v>1</v>
      </c>
      <c r="E36" s="70">
        <f>RANK(E35,$D35:$G35,0)</f>
        <v>1</v>
      </c>
      <c r="F36" s="69">
        <f>RANK(F35,$D35:$G35,0)</f>
        <v>1</v>
      </c>
      <c r="G36" s="68">
        <f>RANK(G35,$D35:$G35,0)</f>
        <v>1</v>
      </c>
    </row>
    <row r="38" spans="1:7" ht="16.5" customHeight="1" x14ac:dyDescent="0.4"/>
    <row r="39" spans="1:7" ht="16.5" customHeight="1" x14ac:dyDescent="0.4"/>
    <row r="40" spans="1:7" ht="16.5" customHeight="1" x14ac:dyDescent="0.4"/>
    <row r="41" spans="1:7" ht="16.5" customHeight="1" x14ac:dyDescent="0.4"/>
    <row r="43" spans="1:7" ht="16.5" customHeight="1" x14ac:dyDescent="0.4"/>
    <row r="44" spans="1:7" ht="16.5" customHeight="1" x14ac:dyDescent="0.4"/>
    <row r="45" spans="1:7" ht="16.5" customHeight="1" x14ac:dyDescent="0.4"/>
    <row r="46" spans="1:7" ht="16.5" customHeight="1" x14ac:dyDescent="0.4"/>
    <row r="48" spans="1:7" ht="16.5" customHeight="1" x14ac:dyDescent="0.4"/>
    <row r="49" ht="16.5" customHeight="1" x14ac:dyDescent="0.4"/>
    <row r="50" ht="16.5" customHeight="1" x14ac:dyDescent="0.4"/>
    <row r="51" ht="16.5" customHeight="1" x14ac:dyDescent="0.4"/>
    <row r="53" ht="16.5" customHeight="1" x14ac:dyDescent="0.4"/>
    <row r="54" ht="16.5" customHeight="1" x14ac:dyDescent="0.4"/>
    <row r="55" ht="16.5" customHeight="1" x14ac:dyDescent="0.4"/>
    <row r="56" ht="16.5" customHeight="1" x14ac:dyDescent="0.4"/>
    <row r="57" ht="16.5" customHeight="1" x14ac:dyDescent="0.4"/>
    <row r="58" ht="16.5" customHeight="1" x14ac:dyDescent="0.4"/>
    <row r="59" ht="16.5" customHeight="1" x14ac:dyDescent="0.4"/>
    <row r="60" ht="16.5" customHeight="1" x14ac:dyDescent="0.4"/>
    <row r="61" ht="16.5" customHeight="1" x14ac:dyDescent="0.4"/>
    <row r="62" ht="16.5" customHeight="1" x14ac:dyDescent="0.4"/>
    <row r="63" ht="16.5" customHeight="1" x14ac:dyDescent="0.4"/>
    <row r="64" ht="16.5" customHeight="1" x14ac:dyDescent="0.4"/>
    <row r="65" ht="19.5" customHeight="1" x14ac:dyDescent="0.4"/>
  </sheetData>
  <sheetProtection selectLockedCells="1"/>
  <mergeCells count="2">
    <mergeCell ref="A27:I27"/>
    <mergeCell ref="A12:I12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61" fitToHeight="0" orientation="landscape" r:id="rId1"/>
  <rowBreaks count="1" manualBreakCount="1">
    <brk id="30" max="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87"/>
  <sheetViews>
    <sheetView view="pageBreakPreview" zoomScale="80" zoomScaleNormal="100" zoomScaleSheetLayoutView="80" workbookViewId="0">
      <pane ySplit="1" topLeftCell="A23" activePane="bottomLeft" state="frozen"/>
      <selection pane="bottomLeft" activeCell="F45" sqref="F45"/>
    </sheetView>
  </sheetViews>
  <sheetFormatPr defaultColWidth="25.6328125" defaultRowHeight="17" x14ac:dyDescent="0.4"/>
  <cols>
    <col min="1" max="1" width="8.6328125" customWidth="1"/>
    <col min="2" max="2" width="41.453125" customWidth="1"/>
    <col min="3" max="3" width="15.6328125" customWidth="1"/>
    <col min="4" max="9" width="27.6328125" customWidth="1"/>
    <col min="10" max="10" width="27.6328125" style="15" customWidth="1"/>
    <col min="11" max="14" width="27.6328125" customWidth="1"/>
    <col min="15" max="21" width="2.453125" bestFit="1" customWidth="1"/>
  </cols>
  <sheetData>
    <row r="1" spans="1:10" ht="19.5" x14ac:dyDescent="0.4">
      <c r="A1" s="14" t="s">
        <v>1</v>
      </c>
      <c r="B1" s="14" t="s">
        <v>14</v>
      </c>
      <c r="C1" s="14" t="s">
        <v>3</v>
      </c>
      <c r="D1" s="14" t="s">
        <v>16</v>
      </c>
      <c r="E1" s="14" t="s">
        <v>2</v>
      </c>
      <c r="F1" s="14" t="s">
        <v>15</v>
      </c>
      <c r="G1" s="14" t="s">
        <v>17</v>
      </c>
      <c r="H1" s="14" t="s">
        <v>18</v>
      </c>
      <c r="I1" s="14" t="s">
        <v>19</v>
      </c>
    </row>
    <row r="2" spans="1:10" ht="19.5" customHeight="1" x14ac:dyDescent="0.4">
      <c r="A2" s="102">
        <v>1</v>
      </c>
      <c r="B2" s="93" t="s">
        <v>20</v>
      </c>
      <c r="C2" s="9" t="s">
        <v>21</v>
      </c>
      <c r="D2" s="7"/>
      <c r="E2" s="2" t="s">
        <v>81</v>
      </c>
      <c r="F2" s="2" t="s">
        <v>84</v>
      </c>
      <c r="G2" s="4" t="s">
        <v>85</v>
      </c>
      <c r="H2" s="7"/>
      <c r="I2" s="7"/>
    </row>
    <row r="3" spans="1:10" s="5" customFormat="1" ht="19.5" customHeight="1" x14ac:dyDescent="0.4">
      <c r="A3" s="108">
        <v>2</v>
      </c>
      <c r="B3" s="105" t="s">
        <v>25</v>
      </c>
      <c r="C3" s="9" t="s">
        <v>5</v>
      </c>
      <c r="D3" s="7"/>
      <c r="E3" s="1" t="s">
        <v>79</v>
      </c>
      <c r="F3" s="2" t="s">
        <v>81</v>
      </c>
      <c r="G3" s="3" t="s">
        <v>82</v>
      </c>
      <c r="H3" s="4" t="s">
        <v>165</v>
      </c>
      <c r="I3" s="7"/>
      <c r="J3" s="22"/>
    </row>
    <row r="4" spans="1:10" ht="19.5" customHeight="1" x14ac:dyDescent="0.4">
      <c r="A4" s="109"/>
      <c r="B4" s="106"/>
      <c r="C4" s="9" t="s">
        <v>86</v>
      </c>
      <c r="D4" s="7"/>
      <c r="E4" s="1" t="s">
        <v>83</v>
      </c>
      <c r="F4" s="2" t="s">
        <v>73</v>
      </c>
      <c r="G4" s="3" t="s">
        <v>10</v>
      </c>
      <c r="H4" s="7"/>
      <c r="I4" s="7"/>
    </row>
    <row r="5" spans="1:10" ht="19.5" customHeight="1" x14ac:dyDescent="0.4">
      <c r="A5" s="101" t="s">
        <v>105</v>
      </c>
      <c r="B5" s="100" t="s">
        <v>92</v>
      </c>
      <c r="C5" s="45" t="s">
        <v>93</v>
      </c>
      <c r="D5" s="4" t="s">
        <v>166</v>
      </c>
      <c r="E5" s="29" t="s">
        <v>88</v>
      </c>
      <c r="F5" s="58" t="s">
        <v>90</v>
      </c>
      <c r="G5" s="47" t="s">
        <v>158</v>
      </c>
      <c r="H5" s="47" t="s">
        <v>89</v>
      </c>
      <c r="I5" s="7"/>
    </row>
    <row r="6" spans="1:10" ht="19.5" customHeight="1" x14ac:dyDescent="0.4">
      <c r="A6" s="101" t="s">
        <v>106</v>
      </c>
      <c r="B6" s="96" t="s">
        <v>26</v>
      </c>
      <c r="C6" s="26" t="s">
        <v>87</v>
      </c>
      <c r="D6" s="3" t="s">
        <v>91</v>
      </c>
      <c r="E6" s="4" t="s">
        <v>35</v>
      </c>
      <c r="F6" s="20" t="s">
        <v>27</v>
      </c>
      <c r="G6" s="47" t="s">
        <v>139</v>
      </c>
      <c r="H6" s="51" t="s">
        <v>48</v>
      </c>
      <c r="I6" s="47" t="s">
        <v>159</v>
      </c>
    </row>
    <row r="7" spans="1:10" ht="19.5" customHeight="1" x14ac:dyDescent="0.4">
      <c r="A7" s="118">
        <v>7</v>
      </c>
      <c r="B7" s="105" t="s">
        <v>31</v>
      </c>
      <c r="C7" s="9" t="s">
        <v>94</v>
      </c>
      <c r="D7" s="7"/>
      <c r="E7" s="2" t="s">
        <v>176</v>
      </c>
      <c r="F7" s="4" t="s">
        <v>167</v>
      </c>
      <c r="G7" s="3" t="s">
        <v>97</v>
      </c>
      <c r="H7" s="4" t="s">
        <v>168</v>
      </c>
      <c r="I7" s="7"/>
    </row>
    <row r="8" spans="1:10" ht="19.5" customHeight="1" x14ac:dyDescent="0.4">
      <c r="A8" s="119"/>
      <c r="B8" s="106"/>
      <c r="C8" s="9" t="s">
        <v>95</v>
      </c>
      <c r="D8" s="7"/>
      <c r="E8" s="1" t="s">
        <v>156</v>
      </c>
      <c r="F8" s="3" t="s">
        <v>98</v>
      </c>
      <c r="G8" s="4" t="s">
        <v>96</v>
      </c>
      <c r="H8" s="3" t="s">
        <v>197</v>
      </c>
      <c r="I8" s="7"/>
    </row>
    <row r="9" spans="1:10" ht="19.5" customHeight="1" x14ac:dyDescent="0.4">
      <c r="A9" s="91">
        <v>8</v>
      </c>
      <c r="B9" s="93" t="s">
        <v>7</v>
      </c>
      <c r="C9" s="9" t="s">
        <v>99</v>
      </c>
      <c r="D9" s="2" t="s">
        <v>102</v>
      </c>
      <c r="E9" s="4" t="s">
        <v>103</v>
      </c>
      <c r="F9" s="3" t="s">
        <v>101</v>
      </c>
      <c r="G9" s="2" t="s">
        <v>52</v>
      </c>
      <c r="H9" s="3" t="s">
        <v>100</v>
      </c>
      <c r="I9" s="7"/>
    </row>
    <row r="10" spans="1:10" ht="19.5" customHeight="1" x14ac:dyDescent="0.4">
      <c r="A10" s="118">
        <v>9</v>
      </c>
      <c r="B10" s="115" t="s">
        <v>34</v>
      </c>
      <c r="C10" s="10" t="s">
        <v>104</v>
      </c>
      <c r="E10" s="2" t="s">
        <v>177</v>
      </c>
      <c r="F10" s="4" t="s">
        <v>169</v>
      </c>
      <c r="G10" s="3" t="s">
        <v>160</v>
      </c>
      <c r="H10" s="7"/>
      <c r="I10" s="7"/>
    </row>
    <row r="11" spans="1:10" ht="19.5" customHeight="1" x14ac:dyDescent="0.4">
      <c r="A11" s="119"/>
      <c r="B11" s="116"/>
      <c r="C11" s="10" t="s">
        <v>107</v>
      </c>
      <c r="D11" s="7"/>
      <c r="E11" s="3" t="s">
        <v>161</v>
      </c>
      <c r="F11" s="4" t="s">
        <v>108</v>
      </c>
      <c r="G11" s="3" t="s">
        <v>162</v>
      </c>
      <c r="H11" s="3" t="s">
        <v>109</v>
      </c>
      <c r="I11" s="7"/>
      <c r="J11"/>
    </row>
    <row r="12" spans="1:10" ht="19.5" customHeight="1" x14ac:dyDescent="0.4">
      <c r="A12" s="123" t="s">
        <v>116</v>
      </c>
      <c r="B12" s="105" t="s">
        <v>115</v>
      </c>
      <c r="C12" s="9" t="s">
        <v>110</v>
      </c>
      <c r="D12" s="2" t="s">
        <v>178</v>
      </c>
      <c r="E12" s="4" t="s">
        <v>37</v>
      </c>
      <c r="F12" s="4" t="s">
        <v>170</v>
      </c>
      <c r="G12" s="3" t="s">
        <v>158</v>
      </c>
      <c r="H12" s="4" t="s">
        <v>112</v>
      </c>
      <c r="I12" s="4" t="s">
        <v>113</v>
      </c>
      <c r="J12"/>
    </row>
    <row r="13" spans="1:10" ht="19.5" customHeight="1" x14ac:dyDescent="0.4">
      <c r="A13" s="124"/>
      <c r="B13" s="106"/>
      <c r="C13" s="9" t="s">
        <v>111</v>
      </c>
      <c r="D13" s="4" t="s">
        <v>51</v>
      </c>
      <c r="E13" s="3" t="s">
        <v>38</v>
      </c>
      <c r="F13" s="52" t="s">
        <v>123</v>
      </c>
      <c r="G13" s="47" t="s">
        <v>114</v>
      </c>
      <c r="H13" s="49" t="s">
        <v>58</v>
      </c>
      <c r="I13" s="49" t="s">
        <v>179</v>
      </c>
      <c r="J13"/>
    </row>
    <row r="14" spans="1:10" ht="19.5" customHeight="1" x14ac:dyDescent="0.4">
      <c r="A14" s="91">
        <v>12</v>
      </c>
      <c r="B14" s="92" t="s">
        <v>117</v>
      </c>
      <c r="C14" s="11" t="s">
        <v>118</v>
      </c>
      <c r="D14" s="7"/>
      <c r="E14" s="1" t="s">
        <v>74</v>
      </c>
      <c r="F14" s="2" t="s">
        <v>75</v>
      </c>
      <c r="G14" s="4" t="s">
        <v>76</v>
      </c>
      <c r="H14" s="13" t="s">
        <v>77</v>
      </c>
      <c r="I14" s="21"/>
      <c r="J14"/>
    </row>
    <row r="15" spans="1:10" ht="19.5" customHeight="1" x14ac:dyDescent="0.4">
      <c r="A15" s="91">
        <v>13</v>
      </c>
      <c r="B15" s="92" t="s">
        <v>0</v>
      </c>
      <c r="C15" s="11" t="s">
        <v>119</v>
      </c>
      <c r="D15" s="24"/>
      <c r="E15" s="13" t="s">
        <v>77</v>
      </c>
      <c r="F15" s="2" t="s">
        <v>75</v>
      </c>
      <c r="G15" s="4" t="s">
        <v>76</v>
      </c>
      <c r="H15" s="25"/>
      <c r="I15" s="21"/>
      <c r="J15"/>
    </row>
    <row r="16" spans="1:10" ht="19.5" customHeight="1" x14ac:dyDescent="0.4">
      <c r="A16" s="131" t="s">
        <v>39</v>
      </c>
      <c r="B16" s="132"/>
      <c r="C16" s="132"/>
      <c r="D16" s="132"/>
      <c r="E16" s="133"/>
      <c r="F16" s="133"/>
      <c r="G16" s="133"/>
      <c r="H16" s="133"/>
      <c r="I16" s="132"/>
      <c r="J16"/>
    </row>
    <row r="17" spans="1:10" ht="19.5" customHeight="1" x14ac:dyDescent="0.4">
      <c r="A17" s="120" t="s">
        <v>126</v>
      </c>
      <c r="B17" s="112" t="s">
        <v>121</v>
      </c>
      <c r="C17" s="45" t="s">
        <v>120</v>
      </c>
      <c r="D17" s="4" t="s">
        <v>166</v>
      </c>
      <c r="E17" s="2" t="s">
        <v>88</v>
      </c>
      <c r="F17" s="3" t="s">
        <v>162</v>
      </c>
      <c r="G17" s="2" t="s">
        <v>180</v>
      </c>
      <c r="H17" s="3" t="s">
        <v>161</v>
      </c>
      <c r="I17" s="2" t="s">
        <v>181</v>
      </c>
      <c r="J17"/>
    </row>
    <row r="18" spans="1:10" ht="19.5" customHeight="1" x14ac:dyDescent="0.4">
      <c r="A18" s="121"/>
      <c r="B18" s="113"/>
      <c r="C18" s="45" t="s">
        <v>127</v>
      </c>
      <c r="D18" s="28" t="s">
        <v>122</v>
      </c>
      <c r="E18" s="54" t="s">
        <v>125</v>
      </c>
      <c r="F18" s="47" t="s">
        <v>89</v>
      </c>
      <c r="G18" s="54" t="s">
        <v>83</v>
      </c>
      <c r="H18" s="53" t="s">
        <v>40</v>
      </c>
      <c r="I18" s="48" t="s">
        <v>124</v>
      </c>
      <c r="J18"/>
    </row>
    <row r="19" spans="1:10" ht="19.5" customHeight="1" x14ac:dyDescent="0.4">
      <c r="A19" s="97">
        <v>17</v>
      </c>
      <c r="B19" s="96" t="s">
        <v>41</v>
      </c>
      <c r="C19" s="10" t="s">
        <v>42</v>
      </c>
      <c r="D19" s="7"/>
      <c r="E19" s="2" t="s">
        <v>180</v>
      </c>
      <c r="F19" s="1" t="s">
        <v>27</v>
      </c>
      <c r="G19" s="2" t="s">
        <v>43</v>
      </c>
      <c r="H19" s="3" t="s">
        <v>91</v>
      </c>
      <c r="I19" s="7"/>
      <c r="J19"/>
    </row>
    <row r="20" spans="1:10" ht="19.5" customHeight="1" x14ac:dyDescent="0.4">
      <c r="A20" s="91">
        <v>18</v>
      </c>
      <c r="B20" s="96" t="s">
        <v>45</v>
      </c>
      <c r="C20" s="10" t="s">
        <v>44</v>
      </c>
      <c r="D20" s="2" t="s">
        <v>129</v>
      </c>
      <c r="E20" s="3" t="s">
        <v>159</v>
      </c>
      <c r="F20" s="1" t="s">
        <v>130</v>
      </c>
      <c r="G20" s="2" t="s">
        <v>47</v>
      </c>
      <c r="H20" s="3" t="s">
        <v>128</v>
      </c>
      <c r="I20" s="7"/>
      <c r="J20"/>
    </row>
    <row r="21" spans="1:10" ht="19.5" customHeight="1" x14ac:dyDescent="0.4">
      <c r="A21" s="120">
        <v>19</v>
      </c>
      <c r="B21" s="135" t="s">
        <v>49</v>
      </c>
      <c r="C21" s="9" t="s">
        <v>46</v>
      </c>
      <c r="D21" s="1" t="s">
        <v>32</v>
      </c>
      <c r="E21" s="2" t="s">
        <v>132</v>
      </c>
      <c r="F21" s="4" t="s">
        <v>96</v>
      </c>
      <c r="G21" s="3" t="s">
        <v>163</v>
      </c>
      <c r="H21" s="2" t="s">
        <v>182</v>
      </c>
      <c r="I21" s="4" t="s">
        <v>168</v>
      </c>
      <c r="J21"/>
    </row>
    <row r="22" spans="1:10" ht="19.5" customHeight="1" x14ac:dyDescent="0.4">
      <c r="A22" s="121"/>
      <c r="B22" s="136"/>
      <c r="C22" s="9" t="s">
        <v>50</v>
      </c>
      <c r="D22" s="3" t="s">
        <v>131</v>
      </c>
      <c r="E22" s="2" t="s">
        <v>53</v>
      </c>
      <c r="F22" s="4" t="s">
        <v>167</v>
      </c>
      <c r="G22" s="2" t="s">
        <v>133</v>
      </c>
      <c r="H22" s="3" t="s">
        <v>196</v>
      </c>
      <c r="I22" s="7"/>
      <c r="J22"/>
    </row>
    <row r="23" spans="1:10" ht="19.5" customHeight="1" x14ac:dyDescent="0.4">
      <c r="A23" s="97">
        <v>20</v>
      </c>
      <c r="B23" s="95" t="s">
        <v>55</v>
      </c>
      <c r="C23" s="9" t="s">
        <v>185</v>
      </c>
      <c r="D23" s="1" t="s">
        <v>157</v>
      </c>
      <c r="E23" s="2" t="s">
        <v>52</v>
      </c>
      <c r="F23" s="4" t="s">
        <v>171</v>
      </c>
      <c r="G23" s="3" t="s">
        <v>136</v>
      </c>
      <c r="H23" s="2" t="s">
        <v>134</v>
      </c>
      <c r="I23" s="3" t="s">
        <v>135</v>
      </c>
    </row>
    <row r="24" spans="1:10" ht="19.5" customHeight="1" x14ac:dyDescent="0.4">
      <c r="A24" s="97" t="s">
        <v>137</v>
      </c>
      <c r="B24" s="98" t="s">
        <v>199</v>
      </c>
      <c r="C24" s="9" t="s">
        <v>54</v>
      </c>
      <c r="D24" s="2" t="s">
        <v>138</v>
      </c>
      <c r="E24" s="3" t="s">
        <v>197</v>
      </c>
      <c r="F24" s="28" t="s">
        <v>38</v>
      </c>
      <c r="G24" s="49" t="s">
        <v>59</v>
      </c>
      <c r="H24" s="50" t="s">
        <v>103</v>
      </c>
      <c r="I24" s="7"/>
    </row>
    <row r="25" spans="1:10" ht="19.5" customHeight="1" x14ac:dyDescent="0.4">
      <c r="A25" s="120">
        <v>23</v>
      </c>
      <c r="B25" s="115" t="s">
        <v>60</v>
      </c>
      <c r="C25" s="10" t="s">
        <v>56</v>
      </c>
      <c r="D25" s="2" t="s">
        <v>180</v>
      </c>
      <c r="E25" s="4" t="s">
        <v>166</v>
      </c>
      <c r="F25" s="3" t="s">
        <v>164</v>
      </c>
      <c r="G25" s="2" t="s">
        <v>177</v>
      </c>
      <c r="H25" s="3" t="s">
        <v>162</v>
      </c>
      <c r="I25" s="7"/>
    </row>
    <row r="26" spans="1:10" ht="19.5" customHeight="1" x14ac:dyDescent="0.4">
      <c r="A26" s="121"/>
      <c r="B26" s="116"/>
      <c r="C26" s="10" t="s">
        <v>186</v>
      </c>
      <c r="D26" s="7"/>
      <c r="E26" s="2" t="s">
        <v>183</v>
      </c>
      <c r="F26" s="3" t="s">
        <v>160</v>
      </c>
      <c r="G26" s="4" t="s">
        <v>172</v>
      </c>
      <c r="H26" s="3" t="s">
        <v>161</v>
      </c>
      <c r="I26" s="7"/>
    </row>
    <row r="27" spans="1:10" ht="19.5" customHeight="1" x14ac:dyDescent="0.4">
      <c r="A27" s="97">
        <v>24</v>
      </c>
      <c r="B27" s="99" t="s">
        <v>63</v>
      </c>
      <c r="C27" s="10" t="s">
        <v>57</v>
      </c>
      <c r="D27" s="3" t="s">
        <v>139</v>
      </c>
      <c r="E27" s="1" t="s">
        <v>78</v>
      </c>
      <c r="F27" s="3" t="s">
        <v>140</v>
      </c>
      <c r="G27" s="2" t="s">
        <v>142</v>
      </c>
      <c r="H27" s="3" t="s">
        <v>141</v>
      </c>
      <c r="I27" s="7"/>
    </row>
    <row r="28" spans="1:10" ht="19.5" customHeight="1" x14ac:dyDescent="0.4">
      <c r="A28" s="118">
        <v>25</v>
      </c>
      <c r="B28" s="105" t="s">
        <v>64</v>
      </c>
      <c r="C28" s="9" t="s">
        <v>61</v>
      </c>
      <c r="D28" s="2" t="s">
        <v>36</v>
      </c>
      <c r="E28" s="4" t="s">
        <v>80</v>
      </c>
      <c r="F28" s="3" t="s">
        <v>198</v>
      </c>
      <c r="G28" s="2" t="s">
        <v>178</v>
      </c>
      <c r="H28" s="4" t="s">
        <v>144</v>
      </c>
      <c r="I28" s="7"/>
    </row>
    <row r="29" spans="1:10" ht="19.5" customHeight="1" x14ac:dyDescent="0.4">
      <c r="A29" s="119"/>
      <c r="B29" s="106"/>
      <c r="C29" s="9" t="s">
        <v>62</v>
      </c>
      <c r="D29" s="3" t="s">
        <v>158</v>
      </c>
      <c r="E29" s="4" t="s">
        <v>37</v>
      </c>
      <c r="F29" s="3" t="s">
        <v>143</v>
      </c>
      <c r="G29" s="2" t="s">
        <v>138</v>
      </c>
      <c r="H29" s="4" t="s">
        <v>173</v>
      </c>
      <c r="I29" s="7"/>
    </row>
    <row r="30" spans="1:10" ht="19.5" customHeight="1" x14ac:dyDescent="0.4">
      <c r="A30" s="118">
        <v>26</v>
      </c>
      <c r="B30" s="105" t="s">
        <v>65</v>
      </c>
      <c r="C30" s="9" t="s">
        <v>8</v>
      </c>
      <c r="D30" s="7"/>
      <c r="E30" s="2" t="s">
        <v>179</v>
      </c>
      <c r="F30" s="4" t="s">
        <v>171</v>
      </c>
      <c r="G30" s="3" t="s">
        <v>145</v>
      </c>
      <c r="H30" s="2" t="s">
        <v>184</v>
      </c>
      <c r="I30" s="7"/>
    </row>
    <row r="31" spans="1:10" ht="19.5" customHeight="1" x14ac:dyDescent="0.4">
      <c r="A31" s="119"/>
      <c r="B31" s="106"/>
      <c r="C31" s="9" t="s">
        <v>187</v>
      </c>
      <c r="D31" s="7"/>
      <c r="E31" s="2" t="s">
        <v>58</v>
      </c>
      <c r="F31" s="4" t="s">
        <v>174</v>
      </c>
      <c r="G31" s="3" t="s">
        <v>100</v>
      </c>
      <c r="H31" s="2" t="s">
        <v>146</v>
      </c>
      <c r="I31" s="7"/>
    </row>
    <row r="32" spans="1:10" ht="19.5" customHeight="1" x14ac:dyDescent="0.4">
      <c r="A32" s="91">
        <v>27</v>
      </c>
      <c r="B32" s="96" t="s">
        <v>66</v>
      </c>
      <c r="C32" s="10" t="s">
        <v>188</v>
      </c>
      <c r="D32" s="7"/>
      <c r="E32" s="2" t="s">
        <v>88</v>
      </c>
      <c r="F32" s="4" t="s">
        <v>175</v>
      </c>
      <c r="G32" s="3" t="s">
        <v>147</v>
      </c>
      <c r="H32" s="7"/>
      <c r="I32" s="7"/>
    </row>
    <row r="33" spans="1:9" ht="19.5" customHeight="1" x14ac:dyDescent="0.4">
      <c r="A33" s="91">
        <v>28</v>
      </c>
      <c r="B33" s="93" t="s">
        <v>9</v>
      </c>
      <c r="C33" s="9" t="s">
        <v>189</v>
      </c>
      <c r="D33" s="3" t="s">
        <v>148</v>
      </c>
      <c r="E33" s="4" t="s">
        <v>151</v>
      </c>
      <c r="F33" s="3" t="s">
        <v>6</v>
      </c>
      <c r="G33" s="2" t="s">
        <v>150</v>
      </c>
      <c r="H33" s="3" t="s">
        <v>149</v>
      </c>
      <c r="I33" s="7"/>
    </row>
    <row r="34" spans="1:9" ht="19.5" customHeight="1" x14ac:dyDescent="0.4">
      <c r="A34" s="91">
        <v>29</v>
      </c>
      <c r="B34" s="95" t="s">
        <v>67</v>
      </c>
      <c r="C34" s="9" t="s">
        <v>190</v>
      </c>
      <c r="D34" s="7"/>
      <c r="E34" s="2" t="s">
        <v>102</v>
      </c>
      <c r="F34" s="3" t="s">
        <v>33</v>
      </c>
      <c r="G34" s="4" t="s">
        <v>152</v>
      </c>
      <c r="H34" s="3" t="s">
        <v>100</v>
      </c>
      <c r="I34" s="7"/>
    </row>
    <row r="35" spans="1:9" ht="19.5" customHeight="1" x14ac:dyDescent="0.4">
      <c r="A35" s="91">
        <v>30</v>
      </c>
      <c r="B35" s="93" t="s">
        <v>68</v>
      </c>
      <c r="C35" s="8" t="s">
        <v>191</v>
      </c>
      <c r="D35" s="4" t="s">
        <v>112</v>
      </c>
      <c r="E35" s="2" t="s">
        <v>153</v>
      </c>
      <c r="F35" s="1" t="s">
        <v>83</v>
      </c>
      <c r="G35" s="3" t="s">
        <v>10</v>
      </c>
      <c r="H35" s="4" t="s">
        <v>144</v>
      </c>
      <c r="I35" s="3" t="s">
        <v>38</v>
      </c>
    </row>
    <row r="36" spans="1:9" ht="19.5" customHeight="1" x14ac:dyDescent="0.4">
      <c r="A36" s="91">
        <v>31</v>
      </c>
      <c r="B36" s="93" t="s">
        <v>69</v>
      </c>
      <c r="C36" s="9" t="s">
        <v>192</v>
      </c>
      <c r="D36" s="7"/>
      <c r="E36" s="7"/>
      <c r="F36" s="2" t="s">
        <v>155</v>
      </c>
      <c r="G36" s="3" t="s">
        <v>154</v>
      </c>
      <c r="H36" s="7"/>
      <c r="I36" s="7"/>
    </row>
    <row r="37" spans="1:9" ht="19.5" customHeight="1" x14ac:dyDescent="0.4">
      <c r="A37" s="131" t="s">
        <v>39</v>
      </c>
      <c r="B37" s="132"/>
      <c r="C37" s="132"/>
      <c r="D37" s="132"/>
      <c r="E37" s="133"/>
      <c r="F37" s="133"/>
      <c r="G37" s="133"/>
      <c r="H37" s="133"/>
      <c r="I37" s="132"/>
    </row>
    <row r="38" spans="1:9" ht="19.5" customHeight="1" x14ac:dyDescent="0.4">
      <c r="A38" s="91">
        <v>32</v>
      </c>
      <c r="B38" s="94" t="s">
        <v>265</v>
      </c>
      <c r="C38" s="12" t="s">
        <v>193</v>
      </c>
      <c r="D38" s="6"/>
      <c r="E38" s="1" t="s">
        <v>74</v>
      </c>
      <c r="F38" s="2" t="s">
        <v>75</v>
      </c>
      <c r="G38" s="13" t="s">
        <v>77</v>
      </c>
      <c r="H38" s="24"/>
      <c r="I38" s="6"/>
    </row>
    <row r="39" spans="1:9" ht="19.5" customHeight="1" x14ac:dyDescent="0.4">
      <c r="A39" s="91">
        <v>33</v>
      </c>
      <c r="B39" s="92" t="s">
        <v>12</v>
      </c>
      <c r="C39" s="11" t="s">
        <v>194</v>
      </c>
      <c r="D39" s="6"/>
      <c r="E39" s="13" t="s">
        <v>77</v>
      </c>
      <c r="F39" s="2" t="s">
        <v>75</v>
      </c>
      <c r="G39" s="4" t="s">
        <v>76</v>
      </c>
      <c r="H39" s="23"/>
      <c r="I39" s="24"/>
    </row>
    <row r="40" spans="1:9" ht="19.5" customHeight="1" x14ac:dyDescent="0.4">
      <c r="A40" s="91">
        <v>34</v>
      </c>
      <c r="B40" s="92" t="s">
        <v>264</v>
      </c>
      <c r="C40" s="11" t="s">
        <v>195</v>
      </c>
      <c r="D40" s="24"/>
      <c r="E40" s="1" t="s">
        <v>74</v>
      </c>
      <c r="F40" s="2" t="s">
        <v>75</v>
      </c>
      <c r="G40" s="4" t="s">
        <v>76</v>
      </c>
      <c r="H40" s="13" t="s">
        <v>77</v>
      </c>
      <c r="I40" s="24"/>
    </row>
    <row r="41" spans="1:9" ht="19.5" customHeight="1" x14ac:dyDescent="0.4"/>
    <row r="42" spans="1:9" ht="19.5" customHeight="1" x14ac:dyDescent="0.4"/>
    <row r="43" spans="1:9" ht="19.5" customHeight="1" x14ac:dyDescent="0.4"/>
    <row r="44" spans="1:9" ht="19.5" customHeight="1" x14ac:dyDescent="0.4"/>
    <row r="45" spans="1:9" ht="19.5" customHeight="1" x14ac:dyDescent="0.4"/>
    <row r="46" spans="1:9" ht="19.5" customHeight="1" x14ac:dyDescent="0.4"/>
    <row r="47" spans="1:9" ht="19.5" customHeight="1" x14ac:dyDescent="0.4"/>
    <row r="48" spans="1:9" ht="19.5" customHeight="1" x14ac:dyDescent="0.4"/>
    <row r="49" ht="19.5" customHeight="1" x14ac:dyDescent="0.4"/>
    <row r="50" ht="19.5" customHeight="1" x14ac:dyDescent="0.4"/>
    <row r="51" ht="19.5" customHeight="1" x14ac:dyDescent="0.4"/>
    <row r="52" ht="19.5" customHeight="1" x14ac:dyDescent="0.4"/>
    <row r="53" ht="19.5" customHeight="1" x14ac:dyDescent="0.4"/>
    <row r="54" ht="19.5" customHeight="1" x14ac:dyDescent="0.4"/>
    <row r="55" ht="19.5" customHeight="1" x14ac:dyDescent="0.4"/>
    <row r="56" ht="19.5" customHeight="1" x14ac:dyDescent="0.4"/>
    <row r="60" ht="16.5" customHeight="1" x14ac:dyDescent="0.4"/>
    <row r="61" ht="16.5" customHeight="1" x14ac:dyDescent="0.4"/>
    <row r="62" ht="16.5" customHeight="1" x14ac:dyDescent="0.4"/>
    <row r="63" ht="16.5" customHeight="1" x14ac:dyDescent="0.4"/>
    <row r="65" spans="1:9" ht="16.5" customHeight="1" x14ac:dyDescent="0.4">
      <c r="A65" s="15"/>
      <c r="B65" s="15"/>
      <c r="C65" s="15"/>
      <c r="D65" s="15"/>
      <c r="E65" s="15"/>
      <c r="F65" s="15"/>
      <c r="G65" s="15"/>
      <c r="H65" s="15"/>
      <c r="I65" s="15"/>
    </row>
    <row r="66" spans="1:9" ht="16.5" customHeight="1" x14ac:dyDescent="0.4">
      <c r="A66" s="15"/>
      <c r="B66" s="15"/>
      <c r="C66" s="15"/>
      <c r="D66" s="15"/>
      <c r="E66" s="15"/>
      <c r="F66" s="15"/>
      <c r="G66" s="15"/>
      <c r="H66" s="15"/>
      <c r="I66" s="15"/>
    </row>
    <row r="67" spans="1:9" ht="16.5" customHeight="1" x14ac:dyDescent="0.4">
      <c r="A67" s="15"/>
      <c r="B67" s="15"/>
      <c r="C67" s="15"/>
      <c r="D67" s="15"/>
      <c r="E67" s="15"/>
      <c r="F67" s="15"/>
      <c r="G67" s="15"/>
      <c r="H67" s="15"/>
      <c r="I67" s="15"/>
    </row>
    <row r="68" spans="1:9" ht="16.5" customHeight="1" x14ac:dyDescent="0.4">
      <c r="A68" s="15"/>
      <c r="B68" s="15"/>
      <c r="C68" s="15"/>
      <c r="D68" s="15"/>
      <c r="E68" s="15"/>
      <c r="F68" s="15"/>
      <c r="G68" s="15"/>
      <c r="H68" s="15"/>
      <c r="I68" s="15"/>
    </row>
    <row r="69" spans="1:9" x14ac:dyDescent="0.4">
      <c r="A69" s="15"/>
      <c r="B69" s="15"/>
      <c r="C69" s="15"/>
      <c r="D69" s="15"/>
      <c r="E69" s="15"/>
      <c r="F69" s="15"/>
      <c r="G69" s="15"/>
      <c r="H69" s="15"/>
      <c r="I69" s="15"/>
    </row>
    <row r="70" spans="1:9" ht="16.5" customHeight="1" x14ac:dyDescent="0.4">
      <c r="A70" s="15"/>
      <c r="B70" s="15"/>
      <c r="C70" s="15"/>
      <c r="D70" s="15"/>
      <c r="E70" s="15"/>
      <c r="F70" s="15"/>
      <c r="G70" s="15"/>
      <c r="H70" s="15"/>
      <c r="I70" s="15"/>
    </row>
    <row r="71" spans="1:9" ht="16.5" customHeight="1" x14ac:dyDescent="0.4"/>
    <row r="72" spans="1:9" ht="16.5" customHeight="1" x14ac:dyDescent="0.4"/>
    <row r="73" spans="1:9" ht="16.5" customHeight="1" x14ac:dyDescent="0.4"/>
    <row r="75" spans="1:9" ht="16.5" customHeight="1" x14ac:dyDescent="0.4"/>
    <row r="76" spans="1:9" ht="16.5" customHeight="1" x14ac:dyDescent="0.4"/>
    <row r="77" spans="1:9" ht="16.5" customHeight="1" x14ac:dyDescent="0.4"/>
    <row r="78" spans="1:9" ht="16.5" customHeight="1" x14ac:dyDescent="0.4"/>
    <row r="79" spans="1:9" ht="16.5" customHeight="1" x14ac:dyDescent="0.4"/>
    <row r="80" spans="1:9" ht="16.5" customHeight="1" x14ac:dyDescent="0.4"/>
    <row r="81" spans="10:10" ht="16.5" customHeight="1" x14ac:dyDescent="0.4"/>
    <row r="82" spans="10:10" ht="16.5" customHeight="1" x14ac:dyDescent="0.4"/>
    <row r="83" spans="10:10" ht="16.5" customHeight="1" x14ac:dyDescent="0.4"/>
    <row r="84" spans="10:10" ht="16.5" customHeight="1" x14ac:dyDescent="0.4">
      <c r="J84"/>
    </row>
    <row r="85" spans="10:10" ht="16.5" customHeight="1" x14ac:dyDescent="0.4"/>
    <row r="86" spans="10:10" ht="16.5" customHeight="1" x14ac:dyDescent="0.4"/>
    <row r="87" spans="10:10" ht="19.5" customHeight="1" x14ac:dyDescent="0.4"/>
  </sheetData>
  <sheetProtection selectLockedCells="1" selectUnlockedCells="1"/>
  <mergeCells count="20">
    <mergeCell ref="A7:A8"/>
    <mergeCell ref="B7:B8"/>
    <mergeCell ref="B3:B4"/>
    <mergeCell ref="A3:A4"/>
    <mergeCell ref="B21:B22"/>
    <mergeCell ref="A21:A22"/>
    <mergeCell ref="A10:A11"/>
    <mergeCell ref="B10:B11"/>
    <mergeCell ref="A25:A26"/>
    <mergeCell ref="B25:B26"/>
    <mergeCell ref="A37:I37"/>
    <mergeCell ref="A12:A13"/>
    <mergeCell ref="B12:B13"/>
    <mergeCell ref="B17:B18"/>
    <mergeCell ref="A17:A18"/>
    <mergeCell ref="A16:I16"/>
    <mergeCell ref="A28:A29"/>
    <mergeCell ref="B28:B29"/>
    <mergeCell ref="A30:A31"/>
    <mergeCell ref="B30:B31"/>
  </mergeCells>
  <phoneticPr fontId="4" type="noConversion"/>
  <pageMargins left="0.25" right="0.25" top="0.75" bottom="0.75" header="0.3" footer="0.3"/>
  <pageSetup paperSize="9" scale="61" fitToHeight="0" orientation="landscape" r:id="rId1"/>
  <headerFooter>
    <oddHeader>&amp;A</oddHeader>
    <oddFooter>第 &amp;P 頁，共 &amp;N 頁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3"/>
  <sheetViews>
    <sheetView zoomScale="70" zoomScaleNormal="70" workbookViewId="0">
      <selection activeCell="H10" sqref="H10"/>
    </sheetView>
  </sheetViews>
  <sheetFormatPr defaultColWidth="25.6328125" defaultRowHeight="17" x14ac:dyDescent="0.4"/>
  <cols>
    <col min="1" max="1" width="8.6328125" customWidth="1"/>
    <col min="2" max="2" width="41.453125" customWidth="1"/>
    <col min="3" max="3" width="15.6328125" customWidth="1"/>
    <col min="4" max="9" width="27.6328125" customWidth="1"/>
    <col min="10" max="10" width="27.6328125" style="15" customWidth="1"/>
    <col min="11" max="14" width="27.6328125" customWidth="1"/>
    <col min="15" max="21" width="2.453125" bestFit="1" customWidth="1"/>
  </cols>
  <sheetData>
    <row r="1" spans="1:10" ht="19.5" x14ac:dyDescent="0.4">
      <c r="A1" s="14" t="s">
        <v>266</v>
      </c>
      <c r="B1" s="14" t="s">
        <v>228</v>
      </c>
      <c r="C1" s="14" t="s">
        <v>227</v>
      </c>
      <c r="D1" s="14" t="s">
        <v>267</v>
      </c>
      <c r="E1" s="14" t="s">
        <v>268</v>
      </c>
      <c r="F1" s="14" t="s">
        <v>269</v>
      </c>
      <c r="G1" s="14" t="s">
        <v>270</v>
      </c>
      <c r="H1" s="14" t="s">
        <v>271</v>
      </c>
      <c r="I1" s="14" t="s">
        <v>272</v>
      </c>
    </row>
    <row r="2" spans="1:10" ht="19.5" customHeight="1" x14ac:dyDescent="0.4">
      <c r="A2" s="104">
        <v>1</v>
      </c>
      <c r="B2" s="105" t="s">
        <v>273</v>
      </c>
      <c r="C2" s="9" t="s">
        <v>274</v>
      </c>
      <c r="D2" s="7"/>
      <c r="E2" s="2" t="s">
        <v>81</v>
      </c>
      <c r="F2" s="2" t="s">
        <v>84</v>
      </c>
      <c r="G2" s="4" t="s">
        <v>275</v>
      </c>
      <c r="H2" s="7"/>
      <c r="I2" s="7"/>
    </row>
    <row r="3" spans="1:10" ht="19.5" customHeight="1" x14ac:dyDescent="0.4">
      <c r="A3" s="104"/>
      <c r="B3" s="106"/>
      <c r="C3" s="16" t="s">
        <v>276</v>
      </c>
      <c r="D3" s="7"/>
      <c r="E3" s="18"/>
      <c r="F3" s="18"/>
      <c r="G3" s="19"/>
      <c r="H3" s="7"/>
      <c r="I3" s="7"/>
    </row>
    <row r="4" spans="1:10" ht="19.5" customHeight="1" x14ac:dyDescent="0.4">
      <c r="A4" s="104"/>
      <c r="B4" s="106"/>
      <c r="C4" s="16" t="s">
        <v>277</v>
      </c>
      <c r="D4" s="21"/>
      <c r="E4" s="21"/>
      <c r="F4" s="21"/>
      <c r="G4" s="21"/>
      <c r="H4" s="7"/>
      <c r="I4" s="7"/>
    </row>
    <row r="5" spans="1:10" ht="19.5" customHeight="1" x14ac:dyDescent="0.4">
      <c r="A5" s="104"/>
      <c r="B5" s="107"/>
      <c r="C5" s="16" t="s">
        <v>278</v>
      </c>
      <c r="D5" s="21"/>
      <c r="E5" s="21"/>
      <c r="F5" s="7"/>
      <c r="G5" s="7"/>
      <c r="H5" s="7"/>
      <c r="I5" s="7"/>
    </row>
    <row r="6" spans="1:10" s="5" customFormat="1" ht="19.5" customHeight="1" x14ac:dyDescent="0.4">
      <c r="A6" s="108">
        <v>2</v>
      </c>
      <c r="B6" s="105" t="s">
        <v>279</v>
      </c>
      <c r="C6" s="9" t="s">
        <v>280</v>
      </c>
      <c r="D6" s="7"/>
      <c r="E6" s="1" t="s">
        <v>79</v>
      </c>
      <c r="F6" s="2" t="s">
        <v>81</v>
      </c>
      <c r="G6" s="3" t="s">
        <v>82</v>
      </c>
      <c r="H6" s="4" t="s">
        <v>281</v>
      </c>
      <c r="I6" s="7"/>
      <c r="J6" s="22"/>
    </row>
    <row r="7" spans="1:10" s="5" customFormat="1" ht="19.5" customHeight="1" x14ac:dyDescent="0.4">
      <c r="A7" s="109"/>
      <c r="B7" s="106"/>
      <c r="C7" s="16" t="s">
        <v>282</v>
      </c>
      <c r="D7" s="7"/>
      <c r="E7" s="20"/>
      <c r="F7" s="18"/>
      <c r="G7" s="17"/>
      <c r="H7" s="19"/>
      <c r="I7" s="7"/>
      <c r="J7" s="22"/>
    </row>
    <row r="8" spans="1:10" s="5" customFormat="1" ht="19.5" customHeight="1" x14ac:dyDescent="0.4">
      <c r="A8" s="109"/>
      <c r="B8" s="106"/>
      <c r="C8" s="16" t="s">
        <v>283</v>
      </c>
      <c r="D8" s="21"/>
      <c r="E8" s="21"/>
      <c r="F8" s="7"/>
      <c r="G8" s="7"/>
      <c r="H8" s="7"/>
      <c r="I8" s="7"/>
      <c r="J8" s="22"/>
    </row>
    <row r="9" spans="1:10" s="5" customFormat="1" ht="19.5" customHeight="1" x14ac:dyDescent="0.4">
      <c r="A9" s="109"/>
      <c r="B9" s="106"/>
      <c r="C9" s="16" t="s">
        <v>284</v>
      </c>
      <c r="D9" s="21"/>
      <c r="E9" s="21"/>
      <c r="F9" s="7"/>
      <c r="G9" s="7"/>
      <c r="H9" s="7"/>
      <c r="I9" s="7"/>
      <c r="J9" s="22"/>
    </row>
    <row r="10" spans="1:10" ht="19.5" customHeight="1" x14ac:dyDescent="0.4">
      <c r="A10" s="109"/>
      <c r="B10" s="106"/>
      <c r="C10" s="9" t="s">
        <v>285</v>
      </c>
      <c r="D10" s="7"/>
      <c r="E10" s="1" t="s">
        <v>286</v>
      </c>
      <c r="F10" s="2" t="s">
        <v>287</v>
      </c>
      <c r="G10" s="3" t="s">
        <v>288</v>
      </c>
      <c r="H10" s="7"/>
      <c r="I10" s="7"/>
    </row>
    <row r="11" spans="1:10" ht="19.5" customHeight="1" x14ac:dyDescent="0.4">
      <c r="A11" s="109"/>
      <c r="B11" s="106"/>
      <c r="C11" s="16" t="s">
        <v>289</v>
      </c>
      <c r="D11" s="7"/>
      <c r="E11" s="20"/>
      <c r="F11" s="18"/>
      <c r="G11" s="17"/>
      <c r="H11" s="7"/>
      <c r="I11" s="7"/>
    </row>
    <row r="12" spans="1:10" ht="19.5" customHeight="1" x14ac:dyDescent="0.4">
      <c r="A12" s="109"/>
      <c r="B12" s="106"/>
      <c r="C12" s="16" t="s">
        <v>290</v>
      </c>
      <c r="D12" s="21"/>
      <c r="E12" s="21"/>
      <c r="F12" s="7"/>
      <c r="G12" s="7"/>
      <c r="H12" s="7"/>
      <c r="I12" s="7"/>
    </row>
    <row r="13" spans="1:10" ht="19.5" customHeight="1" x14ac:dyDescent="0.4">
      <c r="A13" s="110"/>
      <c r="B13" s="107"/>
      <c r="C13" s="16" t="s">
        <v>291</v>
      </c>
      <c r="D13" s="21"/>
      <c r="E13" s="21"/>
      <c r="F13" s="7"/>
      <c r="G13" s="7"/>
      <c r="H13" s="7"/>
      <c r="I13" s="7"/>
    </row>
    <row r="14" spans="1:10" ht="19.5" customHeight="1" x14ac:dyDescent="0.4">
      <c r="A14" s="111" t="s">
        <v>292</v>
      </c>
      <c r="B14" s="112" t="s">
        <v>293</v>
      </c>
      <c r="C14" s="45" t="s">
        <v>294</v>
      </c>
      <c r="D14" s="4" t="s">
        <v>295</v>
      </c>
      <c r="E14" s="29" t="s">
        <v>296</v>
      </c>
      <c r="F14" s="54" t="s">
        <v>297</v>
      </c>
      <c r="G14" s="47" t="s">
        <v>298</v>
      </c>
      <c r="H14" s="47" t="s">
        <v>299</v>
      </c>
      <c r="I14" s="7"/>
    </row>
    <row r="15" spans="1:10" ht="19.5" customHeight="1" x14ac:dyDescent="0.4">
      <c r="A15" s="111"/>
      <c r="B15" s="113"/>
      <c r="C15" s="46" t="s">
        <v>289</v>
      </c>
      <c r="D15" s="19"/>
      <c r="E15" s="30"/>
      <c r="F15" s="20"/>
      <c r="G15" s="17"/>
      <c r="H15" s="17"/>
      <c r="I15" s="7"/>
    </row>
    <row r="16" spans="1:10" ht="19.5" customHeight="1" x14ac:dyDescent="0.4">
      <c r="A16" s="111"/>
      <c r="B16" s="113"/>
      <c r="C16" s="46" t="s">
        <v>290</v>
      </c>
      <c r="D16" s="24"/>
      <c r="E16" s="7"/>
      <c r="F16" s="21"/>
      <c r="G16" s="7"/>
      <c r="H16" s="7"/>
      <c r="I16" s="7"/>
    </row>
    <row r="17" spans="1:9" ht="19.5" customHeight="1" x14ac:dyDescent="0.4">
      <c r="A17" s="111"/>
      <c r="B17" s="114"/>
      <c r="C17" s="46" t="s">
        <v>291</v>
      </c>
      <c r="D17" s="24"/>
      <c r="E17" s="7"/>
      <c r="F17" s="21"/>
      <c r="G17" s="21"/>
      <c r="H17" s="7"/>
      <c r="I17" s="7"/>
    </row>
    <row r="18" spans="1:9" ht="19.5" customHeight="1" x14ac:dyDescent="0.4">
      <c r="A18" s="111" t="s">
        <v>300</v>
      </c>
      <c r="B18" s="115" t="s">
        <v>301</v>
      </c>
      <c r="C18" s="26" t="s">
        <v>302</v>
      </c>
      <c r="D18" s="3" t="s">
        <v>303</v>
      </c>
      <c r="E18" s="4" t="s">
        <v>304</v>
      </c>
      <c r="F18" s="20" t="s">
        <v>305</v>
      </c>
      <c r="G18" s="47" t="s">
        <v>306</v>
      </c>
      <c r="H18" s="51" t="s">
        <v>307</v>
      </c>
      <c r="I18" s="47" t="s">
        <v>308</v>
      </c>
    </row>
    <row r="19" spans="1:9" ht="19.5" customHeight="1" x14ac:dyDescent="0.4">
      <c r="A19" s="111"/>
      <c r="B19" s="116"/>
      <c r="C19" s="26" t="s">
        <v>28</v>
      </c>
      <c r="D19" s="17"/>
      <c r="E19" s="19"/>
      <c r="F19" s="20"/>
      <c r="G19" s="17"/>
      <c r="H19" s="20"/>
      <c r="I19" s="17"/>
    </row>
    <row r="20" spans="1:9" ht="19.5" customHeight="1" x14ac:dyDescent="0.4">
      <c r="A20" s="111"/>
      <c r="B20" s="116"/>
      <c r="C20" s="26" t="s">
        <v>29</v>
      </c>
      <c r="D20" s="7"/>
      <c r="E20" s="7"/>
      <c r="F20" s="7"/>
      <c r="G20" s="7"/>
      <c r="H20" s="7"/>
      <c r="I20" s="7"/>
    </row>
    <row r="21" spans="1:9" ht="19.5" customHeight="1" x14ac:dyDescent="0.4">
      <c r="A21" s="111"/>
      <c r="B21" s="117"/>
      <c r="C21" s="26" t="s">
        <v>30</v>
      </c>
      <c r="D21" s="7"/>
      <c r="E21" s="7"/>
      <c r="F21" s="7"/>
      <c r="G21" s="7"/>
      <c r="H21" s="7"/>
      <c r="I21" s="7"/>
    </row>
    <row r="22" spans="1:9" ht="19.5" customHeight="1" x14ac:dyDescent="0.4">
      <c r="A22" s="118">
        <v>7</v>
      </c>
      <c r="B22" s="105" t="s">
        <v>309</v>
      </c>
      <c r="C22" s="9" t="s">
        <v>310</v>
      </c>
      <c r="D22" s="7"/>
      <c r="E22" s="2" t="s">
        <v>311</v>
      </c>
      <c r="F22" s="4" t="s">
        <v>312</v>
      </c>
      <c r="G22" s="3" t="s">
        <v>313</v>
      </c>
      <c r="H22" s="4" t="s">
        <v>314</v>
      </c>
      <c r="I22" s="7"/>
    </row>
    <row r="23" spans="1:9" ht="19.5" customHeight="1" x14ac:dyDescent="0.4">
      <c r="A23" s="119"/>
      <c r="B23" s="106"/>
      <c r="C23" s="16" t="s">
        <v>289</v>
      </c>
      <c r="D23" s="7"/>
      <c r="E23" s="18"/>
      <c r="F23" s="19"/>
      <c r="G23" s="17"/>
      <c r="H23" s="19"/>
      <c r="I23" s="7"/>
    </row>
    <row r="24" spans="1:9" ht="19.5" customHeight="1" x14ac:dyDescent="0.4">
      <c r="A24" s="119"/>
      <c r="B24" s="106"/>
      <c r="C24" s="16" t="s">
        <v>290</v>
      </c>
      <c r="D24" s="7"/>
      <c r="E24" s="7"/>
      <c r="F24" s="7"/>
      <c r="G24" s="7"/>
      <c r="H24" s="7"/>
      <c r="I24" s="7"/>
    </row>
    <row r="25" spans="1:9" ht="19.5" customHeight="1" x14ac:dyDescent="0.4">
      <c r="A25" s="119"/>
      <c r="B25" s="106"/>
      <c r="C25" s="16" t="s">
        <v>291</v>
      </c>
      <c r="D25" s="7"/>
      <c r="E25" s="7"/>
      <c r="F25" s="7"/>
      <c r="G25" s="7"/>
      <c r="H25" s="7"/>
      <c r="I25" s="7"/>
    </row>
    <row r="26" spans="1:9" ht="19.5" customHeight="1" x14ac:dyDescent="0.4">
      <c r="A26" s="119"/>
      <c r="B26" s="106"/>
      <c r="C26" s="9" t="s">
        <v>315</v>
      </c>
      <c r="D26" s="7"/>
      <c r="E26" s="1" t="s">
        <v>316</v>
      </c>
      <c r="F26" s="3" t="s">
        <v>317</v>
      </c>
      <c r="G26" s="4" t="s">
        <v>318</v>
      </c>
      <c r="H26" s="3" t="s">
        <v>319</v>
      </c>
      <c r="I26" s="7"/>
    </row>
    <row r="27" spans="1:9" ht="19.5" customHeight="1" x14ac:dyDescent="0.4">
      <c r="A27" s="119"/>
      <c r="B27" s="106"/>
      <c r="C27" s="16" t="s">
        <v>289</v>
      </c>
      <c r="D27" s="7"/>
      <c r="E27" s="20"/>
      <c r="F27" s="17"/>
      <c r="G27" s="19"/>
      <c r="H27" s="17"/>
      <c r="I27" s="7"/>
    </row>
    <row r="28" spans="1:9" ht="19.5" customHeight="1" x14ac:dyDescent="0.4">
      <c r="A28" s="119"/>
      <c r="B28" s="106"/>
      <c r="C28" s="16" t="s">
        <v>290</v>
      </c>
      <c r="D28" s="7"/>
      <c r="E28" s="7"/>
      <c r="F28" s="7"/>
      <c r="G28" s="7"/>
      <c r="H28" s="7"/>
      <c r="I28" s="7"/>
    </row>
    <row r="29" spans="1:9" ht="19.5" customHeight="1" x14ac:dyDescent="0.4">
      <c r="A29" s="119"/>
      <c r="B29" s="107"/>
      <c r="C29" s="16" t="s">
        <v>291</v>
      </c>
      <c r="D29" s="7"/>
      <c r="E29" s="7"/>
      <c r="F29" s="7"/>
      <c r="G29" s="7"/>
      <c r="H29" s="7"/>
      <c r="I29" s="7"/>
    </row>
    <row r="30" spans="1:9" ht="19.5" customHeight="1" x14ac:dyDescent="0.4">
      <c r="A30" s="118">
        <v>8</v>
      </c>
      <c r="B30" s="105" t="s">
        <v>320</v>
      </c>
      <c r="C30" s="9" t="s">
        <v>321</v>
      </c>
      <c r="D30" s="2" t="s">
        <v>322</v>
      </c>
      <c r="E30" s="4" t="s">
        <v>323</v>
      </c>
      <c r="F30" s="3" t="s">
        <v>324</v>
      </c>
      <c r="G30" s="2" t="s">
        <v>325</v>
      </c>
      <c r="H30" s="3" t="s">
        <v>326</v>
      </c>
      <c r="I30" s="7"/>
    </row>
    <row r="31" spans="1:9" ht="19.5" customHeight="1" x14ac:dyDescent="0.4">
      <c r="A31" s="119"/>
      <c r="B31" s="106"/>
      <c r="C31" s="16" t="s">
        <v>289</v>
      </c>
      <c r="D31" s="18"/>
      <c r="E31" s="19"/>
      <c r="F31" s="17"/>
      <c r="G31" s="18"/>
      <c r="H31" s="17"/>
      <c r="I31" s="7"/>
    </row>
    <row r="32" spans="1:9" ht="19.5" customHeight="1" x14ac:dyDescent="0.4">
      <c r="A32" s="119"/>
      <c r="B32" s="106"/>
      <c r="C32" s="16" t="s">
        <v>290</v>
      </c>
      <c r="D32" s="7"/>
      <c r="E32" s="7"/>
      <c r="F32" s="7"/>
      <c r="G32" s="7"/>
      <c r="H32" s="7"/>
      <c r="I32" s="7"/>
    </row>
    <row r="33" spans="1:10" ht="19.5" customHeight="1" x14ac:dyDescent="0.4">
      <c r="A33" s="119"/>
      <c r="B33" s="107"/>
      <c r="C33" s="16" t="s">
        <v>291</v>
      </c>
      <c r="D33" s="7"/>
      <c r="E33" s="7"/>
      <c r="F33" s="7"/>
      <c r="G33" s="7"/>
      <c r="H33" s="7"/>
      <c r="I33" s="7"/>
    </row>
    <row r="34" spans="1:10" ht="19.5" customHeight="1" x14ac:dyDescent="0.4">
      <c r="A34" s="118">
        <v>9</v>
      </c>
      <c r="B34" s="115" t="s">
        <v>327</v>
      </c>
      <c r="C34" s="10" t="s">
        <v>328</v>
      </c>
      <c r="E34" s="2" t="s">
        <v>329</v>
      </c>
      <c r="F34" s="4" t="s">
        <v>330</v>
      </c>
      <c r="G34" s="3" t="s">
        <v>331</v>
      </c>
      <c r="H34" s="7"/>
      <c r="I34" s="7"/>
    </row>
    <row r="35" spans="1:10" ht="19.5" customHeight="1" x14ac:dyDescent="0.4">
      <c r="A35" s="119"/>
      <c r="B35" s="116"/>
      <c r="C35" s="26" t="s">
        <v>28</v>
      </c>
      <c r="D35" s="7"/>
      <c r="E35" s="18"/>
      <c r="F35" s="19"/>
      <c r="G35" s="17"/>
      <c r="H35" s="7"/>
      <c r="I35" s="7"/>
    </row>
    <row r="36" spans="1:10" ht="19.5" customHeight="1" x14ac:dyDescent="0.4">
      <c r="A36" s="119"/>
      <c r="B36" s="116"/>
      <c r="C36" s="26" t="s">
        <v>29</v>
      </c>
      <c r="D36" s="7"/>
      <c r="E36" s="7"/>
      <c r="F36" s="7"/>
      <c r="G36" s="7"/>
      <c r="H36" s="7"/>
      <c r="I36" s="7"/>
    </row>
    <row r="37" spans="1:10" ht="19.5" customHeight="1" x14ac:dyDescent="0.4">
      <c r="A37" s="119"/>
      <c r="B37" s="116"/>
      <c r="C37" s="26" t="s">
        <v>30</v>
      </c>
      <c r="D37" s="7"/>
      <c r="E37" s="7"/>
      <c r="F37" s="7"/>
      <c r="G37" s="7"/>
      <c r="H37" s="7"/>
      <c r="I37" s="7"/>
    </row>
    <row r="38" spans="1:10" ht="19.5" customHeight="1" x14ac:dyDescent="0.4">
      <c r="A38" s="119"/>
      <c r="B38" s="116"/>
      <c r="C38" s="10" t="s">
        <v>332</v>
      </c>
      <c r="D38" s="7"/>
      <c r="E38" s="3" t="s">
        <v>333</v>
      </c>
      <c r="F38" s="4" t="s">
        <v>304</v>
      </c>
      <c r="G38" s="3" t="s">
        <v>334</v>
      </c>
      <c r="H38" s="3" t="s">
        <v>335</v>
      </c>
      <c r="I38" s="7"/>
      <c r="J38"/>
    </row>
    <row r="39" spans="1:10" ht="19.5" customHeight="1" x14ac:dyDescent="0.4">
      <c r="A39" s="119"/>
      <c r="B39" s="116"/>
      <c r="C39" s="26" t="s">
        <v>28</v>
      </c>
      <c r="D39" s="7"/>
      <c r="E39" s="17"/>
      <c r="F39" s="19"/>
      <c r="G39" s="17"/>
      <c r="H39" s="17"/>
      <c r="I39" s="7"/>
      <c r="J39"/>
    </row>
    <row r="40" spans="1:10" ht="19.5" customHeight="1" x14ac:dyDescent="0.4">
      <c r="A40" s="119"/>
      <c r="B40" s="116"/>
      <c r="C40" s="26" t="s">
        <v>29</v>
      </c>
      <c r="D40" s="7"/>
      <c r="E40" s="7"/>
      <c r="F40" s="7"/>
      <c r="G40" s="7"/>
      <c r="H40" s="7"/>
      <c r="I40" s="7"/>
      <c r="J40"/>
    </row>
    <row r="41" spans="1:10" ht="19.5" customHeight="1" x14ac:dyDescent="0.4">
      <c r="A41" s="122"/>
      <c r="B41" s="117"/>
      <c r="C41" s="26" t="s">
        <v>30</v>
      </c>
      <c r="D41" s="7"/>
      <c r="E41" s="7"/>
      <c r="F41" s="7"/>
      <c r="G41" s="7"/>
      <c r="H41" s="7"/>
      <c r="I41" s="7"/>
      <c r="J41"/>
    </row>
    <row r="42" spans="1:10" ht="19.5" customHeight="1" x14ac:dyDescent="0.4">
      <c r="A42" s="123" t="s">
        <v>336</v>
      </c>
      <c r="B42" s="105" t="s">
        <v>337</v>
      </c>
      <c r="C42" s="9" t="s">
        <v>338</v>
      </c>
      <c r="D42" s="2" t="s">
        <v>339</v>
      </c>
      <c r="E42" s="4" t="s">
        <v>340</v>
      </c>
      <c r="F42" s="4" t="s">
        <v>341</v>
      </c>
      <c r="G42" s="3" t="s">
        <v>298</v>
      </c>
      <c r="H42" s="4" t="s">
        <v>342</v>
      </c>
      <c r="I42" s="4" t="s">
        <v>343</v>
      </c>
      <c r="J42"/>
    </row>
    <row r="43" spans="1:10" ht="19.5" customHeight="1" x14ac:dyDescent="0.4">
      <c r="A43" s="124"/>
      <c r="B43" s="106"/>
      <c r="C43" s="16" t="s">
        <v>28</v>
      </c>
      <c r="D43" s="18"/>
      <c r="E43" s="19"/>
      <c r="F43" s="19"/>
      <c r="G43" s="17"/>
      <c r="H43" s="19"/>
      <c r="I43" s="19"/>
      <c r="J43"/>
    </row>
    <row r="44" spans="1:10" ht="19.5" customHeight="1" x14ac:dyDescent="0.4">
      <c r="A44" s="124"/>
      <c r="B44" s="106"/>
      <c r="C44" s="16" t="s">
        <v>29</v>
      </c>
      <c r="D44" s="7"/>
      <c r="E44" s="7"/>
      <c r="F44" s="7"/>
      <c r="G44" s="7"/>
      <c r="H44" s="7"/>
      <c r="I44" s="21"/>
      <c r="J44"/>
    </row>
    <row r="45" spans="1:10" ht="19.5" customHeight="1" x14ac:dyDescent="0.4">
      <c r="A45" s="124"/>
      <c r="B45" s="106"/>
      <c r="C45" s="16" t="s">
        <v>30</v>
      </c>
      <c r="D45" s="7"/>
      <c r="E45" s="7"/>
      <c r="F45" s="7"/>
      <c r="G45" s="7"/>
      <c r="H45" s="7"/>
      <c r="I45" s="21"/>
      <c r="J45"/>
    </row>
    <row r="46" spans="1:10" ht="19.5" customHeight="1" x14ac:dyDescent="0.4">
      <c r="A46" s="124"/>
      <c r="B46" s="106"/>
      <c r="C46" s="9" t="s">
        <v>344</v>
      </c>
      <c r="D46" s="4" t="s">
        <v>345</v>
      </c>
      <c r="E46" s="3" t="s">
        <v>346</v>
      </c>
      <c r="F46" s="52" t="s">
        <v>275</v>
      </c>
      <c r="G46" s="47" t="s">
        <v>347</v>
      </c>
      <c r="H46" s="49" t="s">
        <v>348</v>
      </c>
      <c r="I46" s="49" t="s">
        <v>349</v>
      </c>
      <c r="J46"/>
    </row>
    <row r="47" spans="1:10" ht="19.5" customHeight="1" x14ac:dyDescent="0.4">
      <c r="A47" s="124"/>
      <c r="B47" s="106"/>
      <c r="C47" s="16" t="s">
        <v>28</v>
      </c>
      <c r="D47" s="19"/>
      <c r="E47" s="3"/>
      <c r="F47" s="19"/>
      <c r="G47" s="17"/>
      <c r="H47" s="18"/>
      <c r="I47" s="18"/>
      <c r="J47"/>
    </row>
    <row r="48" spans="1:10" ht="19.5" customHeight="1" x14ac:dyDescent="0.4">
      <c r="A48" s="124"/>
      <c r="B48" s="106"/>
      <c r="C48" s="16" t="s">
        <v>29</v>
      </c>
      <c r="D48" s="7"/>
      <c r="E48" s="103"/>
      <c r="F48" s="7"/>
      <c r="G48" s="7"/>
      <c r="H48" s="7"/>
      <c r="I48" s="21"/>
      <c r="J48"/>
    </row>
    <row r="49" spans="1:10" ht="19.5" customHeight="1" x14ac:dyDescent="0.4">
      <c r="A49" s="125"/>
      <c r="B49" s="107"/>
      <c r="C49" s="16" t="s">
        <v>30</v>
      </c>
      <c r="D49" s="7"/>
      <c r="E49" s="103"/>
      <c r="F49" s="7"/>
      <c r="G49" s="7"/>
      <c r="H49" s="7"/>
      <c r="I49" s="21"/>
      <c r="J49"/>
    </row>
    <row r="50" spans="1:10" ht="19.5" customHeight="1" x14ac:dyDescent="0.4">
      <c r="A50" s="118">
        <v>12</v>
      </c>
      <c r="B50" s="128" t="s">
        <v>350</v>
      </c>
      <c r="C50" s="11" t="s">
        <v>351</v>
      </c>
      <c r="D50" s="7"/>
      <c r="E50" s="1" t="s">
        <v>352</v>
      </c>
      <c r="F50" s="2" t="s">
        <v>353</v>
      </c>
      <c r="G50" s="4" t="s">
        <v>354</v>
      </c>
      <c r="H50" s="13" t="s">
        <v>355</v>
      </c>
      <c r="I50" s="21"/>
      <c r="J50"/>
    </row>
    <row r="51" spans="1:10" ht="19.5" customHeight="1" x14ac:dyDescent="0.4">
      <c r="A51" s="119"/>
      <c r="B51" s="129"/>
      <c r="C51" s="31" t="s">
        <v>28</v>
      </c>
      <c r="D51" s="24"/>
      <c r="E51" s="20"/>
      <c r="F51" s="18"/>
      <c r="G51" s="19"/>
      <c r="H51" s="17"/>
      <c r="I51" s="21"/>
      <c r="J51"/>
    </row>
    <row r="52" spans="1:10" ht="19.5" customHeight="1" x14ac:dyDescent="0.4">
      <c r="A52" s="126"/>
      <c r="B52" s="129"/>
      <c r="C52" s="31" t="s">
        <v>29</v>
      </c>
      <c r="D52" s="24"/>
      <c r="E52" s="21"/>
      <c r="F52" s="21"/>
      <c r="G52" s="21"/>
      <c r="H52" s="21"/>
      <c r="I52" s="21"/>
      <c r="J52"/>
    </row>
    <row r="53" spans="1:10" ht="19.5" customHeight="1" x14ac:dyDescent="0.4">
      <c r="A53" s="127"/>
      <c r="B53" s="130"/>
      <c r="C53" s="31" t="s">
        <v>30</v>
      </c>
      <c r="D53" s="24"/>
      <c r="E53" s="21"/>
      <c r="F53" s="21"/>
      <c r="G53" s="21"/>
      <c r="H53" s="21"/>
      <c r="I53" s="21"/>
      <c r="J53"/>
    </row>
    <row r="54" spans="1:10" ht="19.5" customHeight="1" x14ac:dyDescent="0.4">
      <c r="A54" s="118">
        <v>13</v>
      </c>
      <c r="B54" s="128" t="s">
        <v>0</v>
      </c>
      <c r="C54" s="11" t="s">
        <v>356</v>
      </c>
      <c r="D54" s="24"/>
      <c r="E54" s="13" t="s">
        <v>355</v>
      </c>
      <c r="F54" s="2" t="s">
        <v>353</v>
      </c>
      <c r="G54" s="4" t="s">
        <v>354</v>
      </c>
      <c r="H54" s="25"/>
      <c r="I54" s="21"/>
      <c r="J54"/>
    </row>
    <row r="55" spans="1:10" ht="19.5" customHeight="1" x14ac:dyDescent="0.4">
      <c r="A55" s="119"/>
      <c r="B55" s="129"/>
      <c r="C55" s="31" t="s">
        <v>28</v>
      </c>
      <c r="D55" s="24"/>
      <c r="E55" s="17"/>
      <c r="F55" s="18"/>
      <c r="G55" s="19"/>
      <c r="H55" s="25"/>
      <c r="I55" s="21"/>
      <c r="J55"/>
    </row>
    <row r="56" spans="1:10" ht="19.5" customHeight="1" x14ac:dyDescent="0.4">
      <c r="A56" s="126"/>
      <c r="B56" s="129"/>
      <c r="C56" s="31" t="s">
        <v>29</v>
      </c>
      <c r="D56" s="24"/>
      <c r="E56" s="21"/>
      <c r="F56" s="21"/>
      <c r="G56" s="21"/>
      <c r="H56" s="21"/>
      <c r="I56" s="21"/>
      <c r="J56"/>
    </row>
    <row r="57" spans="1:10" ht="19.5" customHeight="1" x14ac:dyDescent="0.4">
      <c r="A57" s="127"/>
      <c r="B57" s="130"/>
      <c r="C57" s="31" t="s">
        <v>30</v>
      </c>
      <c r="D57" s="24"/>
      <c r="E57" s="21"/>
      <c r="F57" s="21"/>
      <c r="G57" s="21"/>
      <c r="H57" s="21"/>
      <c r="I57" s="21"/>
      <c r="J57"/>
    </row>
    <row r="58" spans="1:10" ht="19.5" customHeight="1" x14ac:dyDescent="0.4">
      <c r="A58" s="131" t="s">
        <v>357</v>
      </c>
      <c r="B58" s="132"/>
      <c r="C58" s="132"/>
      <c r="D58" s="132"/>
      <c r="E58" s="133"/>
      <c r="F58" s="133"/>
      <c r="G58" s="133"/>
      <c r="H58" s="133"/>
      <c r="I58" s="132"/>
      <c r="J58"/>
    </row>
    <row r="59" spans="1:10" ht="19.5" customHeight="1" x14ac:dyDescent="0.4">
      <c r="A59" s="120" t="s">
        <v>358</v>
      </c>
      <c r="B59" s="112" t="s">
        <v>359</v>
      </c>
      <c r="C59" s="45" t="s">
        <v>360</v>
      </c>
      <c r="D59" s="4" t="s">
        <v>295</v>
      </c>
      <c r="E59" s="2" t="s">
        <v>296</v>
      </c>
      <c r="F59" s="3" t="s">
        <v>334</v>
      </c>
      <c r="G59" s="2" t="s">
        <v>361</v>
      </c>
      <c r="H59" s="3" t="s">
        <v>333</v>
      </c>
      <c r="I59" s="2" t="s">
        <v>362</v>
      </c>
      <c r="J59"/>
    </row>
    <row r="60" spans="1:10" ht="19.5" customHeight="1" x14ac:dyDescent="0.4">
      <c r="A60" s="121"/>
      <c r="B60" s="113"/>
      <c r="C60" s="46" t="s">
        <v>28</v>
      </c>
      <c r="D60" s="19"/>
      <c r="E60" s="18"/>
      <c r="F60" s="17"/>
      <c r="G60" s="18"/>
      <c r="H60" s="17"/>
      <c r="I60" s="18"/>
      <c r="J60"/>
    </row>
    <row r="61" spans="1:10" ht="19.5" customHeight="1" x14ac:dyDescent="0.4">
      <c r="A61" s="121"/>
      <c r="B61" s="113"/>
      <c r="C61" s="46" t="s">
        <v>29</v>
      </c>
      <c r="D61" s="7"/>
      <c r="E61" s="7"/>
      <c r="F61" s="7"/>
      <c r="G61" s="7"/>
      <c r="H61" s="7"/>
      <c r="I61" s="7"/>
      <c r="J61"/>
    </row>
    <row r="62" spans="1:10" ht="19.5" customHeight="1" x14ac:dyDescent="0.4">
      <c r="A62" s="121"/>
      <c r="B62" s="113"/>
      <c r="C62" s="46" t="s">
        <v>30</v>
      </c>
      <c r="D62" s="7"/>
      <c r="E62" s="7"/>
      <c r="F62" s="7"/>
      <c r="G62" s="7"/>
      <c r="H62" s="7"/>
      <c r="I62" s="7"/>
      <c r="J62"/>
    </row>
    <row r="63" spans="1:10" ht="19.5" customHeight="1" x14ac:dyDescent="0.4">
      <c r="A63" s="121"/>
      <c r="B63" s="113"/>
      <c r="C63" s="45" t="s">
        <v>363</v>
      </c>
      <c r="D63" s="28" t="s">
        <v>335</v>
      </c>
      <c r="E63" s="54" t="s">
        <v>297</v>
      </c>
      <c r="F63" s="47" t="s">
        <v>299</v>
      </c>
      <c r="G63" s="54" t="s">
        <v>364</v>
      </c>
      <c r="H63" s="53" t="s">
        <v>365</v>
      </c>
      <c r="I63" s="48" t="s">
        <v>275</v>
      </c>
      <c r="J63"/>
    </row>
    <row r="64" spans="1:10" ht="19.5" customHeight="1" x14ac:dyDescent="0.4">
      <c r="A64" s="121"/>
      <c r="B64" s="113"/>
      <c r="C64" s="46" t="s">
        <v>28</v>
      </c>
      <c r="D64" s="27"/>
      <c r="E64" s="20"/>
      <c r="F64" s="17"/>
      <c r="G64" s="20"/>
      <c r="H64" s="18"/>
      <c r="I64" s="19"/>
      <c r="J64"/>
    </row>
    <row r="65" spans="1:10" ht="19.5" customHeight="1" x14ac:dyDescent="0.4">
      <c r="A65" s="121"/>
      <c r="B65" s="113"/>
      <c r="C65" s="46" t="s">
        <v>29</v>
      </c>
      <c r="D65" s="7"/>
      <c r="E65" s="7"/>
      <c r="F65" s="7"/>
      <c r="G65" s="7"/>
      <c r="H65" s="7"/>
      <c r="I65" s="7"/>
      <c r="J65"/>
    </row>
    <row r="66" spans="1:10" ht="19.5" customHeight="1" x14ac:dyDescent="0.4">
      <c r="A66" s="134"/>
      <c r="B66" s="114"/>
      <c r="C66" s="46" t="s">
        <v>30</v>
      </c>
      <c r="D66" s="7"/>
      <c r="E66" s="7"/>
      <c r="F66" s="7"/>
      <c r="G66" s="7"/>
      <c r="H66" s="7"/>
      <c r="I66" s="7"/>
      <c r="J66"/>
    </row>
    <row r="67" spans="1:10" ht="19.5" customHeight="1" x14ac:dyDescent="0.4">
      <c r="A67" s="120">
        <v>17</v>
      </c>
      <c r="B67" s="115" t="s">
        <v>366</v>
      </c>
      <c r="C67" s="10" t="s">
        <v>367</v>
      </c>
      <c r="D67" s="7"/>
      <c r="E67" s="2" t="s">
        <v>361</v>
      </c>
      <c r="F67" s="1" t="s">
        <v>305</v>
      </c>
      <c r="G67" s="2" t="s">
        <v>368</v>
      </c>
      <c r="H67" s="3" t="s">
        <v>303</v>
      </c>
      <c r="I67" s="7"/>
      <c r="J67"/>
    </row>
    <row r="68" spans="1:10" ht="19.5" customHeight="1" x14ac:dyDescent="0.4">
      <c r="A68" s="121"/>
      <c r="B68" s="116"/>
      <c r="C68" s="26" t="s">
        <v>28</v>
      </c>
      <c r="D68" s="7"/>
      <c r="E68" s="18"/>
      <c r="F68" s="20"/>
      <c r="G68" s="18"/>
      <c r="H68" s="17"/>
      <c r="I68" s="7"/>
      <c r="J68"/>
    </row>
    <row r="69" spans="1:10" ht="19.5" customHeight="1" x14ac:dyDescent="0.4">
      <c r="A69" s="121"/>
      <c r="B69" s="116"/>
      <c r="C69" s="26" t="s">
        <v>29</v>
      </c>
      <c r="D69" s="7"/>
      <c r="E69" s="7"/>
      <c r="F69" s="7"/>
      <c r="G69" s="7"/>
      <c r="H69" s="7"/>
      <c r="I69" s="7"/>
      <c r="J69"/>
    </row>
    <row r="70" spans="1:10" ht="19.5" customHeight="1" x14ac:dyDescent="0.4">
      <c r="A70" s="121"/>
      <c r="B70" s="117"/>
      <c r="C70" s="26" t="s">
        <v>30</v>
      </c>
      <c r="D70" s="7"/>
      <c r="E70" s="7"/>
      <c r="F70" s="7"/>
      <c r="G70" s="7"/>
      <c r="H70" s="7"/>
      <c r="I70" s="7"/>
      <c r="J70"/>
    </row>
    <row r="71" spans="1:10" ht="19.5" customHeight="1" x14ac:dyDescent="0.4">
      <c r="A71" s="118">
        <v>18</v>
      </c>
      <c r="B71" s="115" t="s">
        <v>369</v>
      </c>
      <c r="C71" s="10" t="s">
        <v>370</v>
      </c>
      <c r="D71" s="2" t="s">
        <v>371</v>
      </c>
      <c r="E71" s="3" t="s">
        <v>308</v>
      </c>
      <c r="F71" s="1" t="s">
        <v>307</v>
      </c>
      <c r="G71" s="2" t="s">
        <v>372</v>
      </c>
      <c r="H71" s="3" t="s">
        <v>306</v>
      </c>
      <c r="I71" s="7"/>
      <c r="J71"/>
    </row>
    <row r="72" spans="1:10" ht="19.5" customHeight="1" x14ac:dyDescent="0.4">
      <c r="A72" s="119"/>
      <c r="B72" s="116"/>
      <c r="C72" s="26" t="s">
        <v>28</v>
      </c>
      <c r="D72" s="18"/>
      <c r="E72" s="17"/>
      <c r="F72" s="20"/>
      <c r="G72" s="18"/>
      <c r="H72" s="17"/>
      <c r="I72" s="7"/>
      <c r="J72"/>
    </row>
    <row r="73" spans="1:10" ht="19.5" customHeight="1" x14ac:dyDescent="0.4">
      <c r="A73" s="119"/>
      <c r="B73" s="116"/>
      <c r="C73" s="26" t="s">
        <v>29</v>
      </c>
      <c r="D73" s="7"/>
      <c r="E73" s="7"/>
      <c r="F73" s="7"/>
      <c r="G73" s="7"/>
      <c r="H73" s="7"/>
      <c r="I73" s="7"/>
      <c r="J73"/>
    </row>
    <row r="74" spans="1:10" ht="19.5" customHeight="1" x14ac:dyDescent="0.4">
      <c r="A74" s="122"/>
      <c r="B74" s="117"/>
      <c r="C74" s="26" t="s">
        <v>30</v>
      </c>
      <c r="D74" s="7"/>
      <c r="E74" s="7"/>
      <c r="F74" s="7"/>
      <c r="G74" s="7"/>
      <c r="H74" s="7"/>
      <c r="I74" s="7"/>
      <c r="J74"/>
    </row>
    <row r="75" spans="1:10" ht="19.5" customHeight="1" x14ac:dyDescent="0.4">
      <c r="A75" s="120">
        <v>19</v>
      </c>
      <c r="B75" s="135" t="s">
        <v>373</v>
      </c>
      <c r="C75" s="9" t="s">
        <v>374</v>
      </c>
      <c r="D75" s="1" t="s">
        <v>375</v>
      </c>
      <c r="E75" s="2" t="s">
        <v>376</v>
      </c>
      <c r="F75" s="4" t="s">
        <v>318</v>
      </c>
      <c r="G75" s="3" t="s">
        <v>377</v>
      </c>
      <c r="H75" s="2" t="s">
        <v>311</v>
      </c>
      <c r="I75" s="4" t="s">
        <v>314</v>
      </c>
      <c r="J75"/>
    </row>
    <row r="76" spans="1:10" ht="19.5" customHeight="1" x14ac:dyDescent="0.4">
      <c r="A76" s="121"/>
      <c r="B76" s="136"/>
      <c r="C76" s="16" t="s">
        <v>28</v>
      </c>
      <c r="D76" s="20"/>
      <c r="E76" s="18"/>
      <c r="F76" s="19"/>
      <c r="G76" s="17"/>
      <c r="H76" s="18"/>
      <c r="I76" s="19"/>
      <c r="J76"/>
    </row>
    <row r="77" spans="1:10" ht="19.5" customHeight="1" x14ac:dyDescent="0.4">
      <c r="A77" s="121"/>
      <c r="B77" s="136"/>
      <c r="C77" s="16" t="s">
        <v>29</v>
      </c>
      <c r="D77" s="7"/>
      <c r="E77" s="7"/>
      <c r="F77" s="7"/>
      <c r="G77" s="7"/>
      <c r="H77" s="7"/>
      <c r="I77" s="7"/>
      <c r="J77"/>
    </row>
    <row r="78" spans="1:10" ht="19.5" customHeight="1" x14ac:dyDescent="0.4">
      <c r="A78" s="121"/>
      <c r="B78" s="136"/>
      <c r="C78" s="16" t="s">
        <v>30</v>
      </c>
      <c r="D78" s="7"/>
      <c r="E78" s="7"/>
      <c r="F78" s="7"/>
      <c r="G78" s="7"/>
      <c r="H78" s="7"/>
      <c r="I78" s="7"/>
      <c r="J78"/>
    </row>
    <row r="79" spans="1:10" ht="19.5" customHeight="1" x14ac:dyDescent="0.4">
      <c r="A79" s="121"/>
      <c r="B79" s="136"/>
      <c r="C79" s="9" t="s">
        <v>378</v>
      </c>
      <c r="D79" s="3" t="s">
        <v>317</v>
      </c>
      <c r="E79" s="2" t="s">
        <v>379</v>
      </c>
      <c r="F79" s="4" t="s">
        <v>312</v>
      </c>
      <c r="G79" s="2" t="s">
        <v>380</v>
      </c>
      <c r="H79" s="3" t="s">
        <v>319</v>
      </c>
      <c r="I79" s="7"/>
      <c r="J79"/>
    </row>
    <row r="80" spans="1:10" ht="19.5" customHeight="1" x14ac:dyDescent="0.4">
      <c r="A80" s="121"/>
      <c r="B80" s="136"/>
      <c r="C80" s="16" t="s">
        <v>28</v>
      </c>
      <c r="D80" s="17"/>
      <c r="E80" s="18"/>
      <c r="F80" s="19"/>
      <c r="G80" s="18"/>
      <c r="H80" s="17"/>
      <c r="I80" s="7"/>
      <c r="J80"/>
    </row>
    <row r="81" spans="1:10" ht="19.5" customHeight="1" x14ac:dyDescent="0.4">
      <c r="A81" s="121"/>
      <c r="B81" s="136"/>
      <c r="C81" s="16" t="s">
        <v>29</v>
      </c>
      <c r="D81" s="7"/>
      <c r="E81" s="7"/>
      <c r="F81" s="7"/>
      <c r="G81" s="7"/>
      <c r="H81" s="7"/>
      <c r="I81" s="7"/>
      <c r="J81"/>
    </row>
    <row r="82" spans="1:10" ht="19.5" customHeight="1" x14ac:dyDescent="0.4">
      <c r="A82" s="134"/>
      <c r="B82" s="137"/>
      <c r="C82" s="16" t="s">
        <v>30</v>
      </c>
      <c r="D82" s="7"/>
      <c r="E82" s="7"/>
      <c r="F82" s="7"/>
      <c r="G82" s="7"/>
      <c r="H82" s="7"/>
      <c r="I82" s="7"/>
      <c r="J82"/>
    </row>
    <row r="83" spans="1:10" ht="19.5" customHeight="1" x14ac:dyDescent="0.4">
      <c r="A83" s="120">
        <v>20</v>
      </c>
      <c r="B83" s="138" t="s">
        <v>381</v>
      </c>
      <c r="C83" s="9" t="s">
        <v>382</v>
      </c>
      <c r="D83" s="1" t="s">
        <v>383</v>
      </c>
      <c r="E83" s="2" t="s">
        <v>325</v>
      </c>
      <c r="F83" s="4" t="s">
        <v>384</v>
      </c>
      <c r="G83" s="3" t="s">
        <v>385</v>
      </c>
      <c r="H83" s="2" t="s">
        <v>386</v>
      </c>
      <c r="I83" s="3" t="s">
        <v>324</v>
      </c>
    </row>
    <row r="84" spans="1:10" ht="19.5" customHeight="1" x14ac:dyDescent="0.4">
      <c r="A84" s="121"/>
      <c r="B84" s="139"/>
      <c r="C84" s="16" t="s">
        <v>28</v>
      </c>
      <c r="D84" s="20"/>
      <c r="E84" s="18"/>
      <c r="F84" s="19"/>
      <c r="G84" s="17"/>
      <c r="H84" s="18"/>
      <c r="I84" s="17"/>
    </row>
    <row r="85" spans="1:10" ht="19.5" customHeight="1" x14ac:dyDescent="0.4">
      <c r="A85" s="121"/>
      <c r="B85" s="139"/>
      <c r="C85" s="16" t="s">
        <v>29</v>
      </c>
      <c r="D85" s="7"/>
      <c r="E85" s="7"/>
      <c r="F85" s="7"/>
      <c r="G85" s="7"/>
      <c r="H85" s="7"/>
      <c r="I85" s="7"/>
    </row>
    <row r="86" spans="1:10" ht="19.5" customHeight="1" x14ac:dyDescent="0.4">
      <c r="A86" s="121"/>
      <c r="B86" s="140"/>
      <c r="C86" s="16" t="s">
        <v>30</v>
      </c>
      <c r="D86" s="7"/>
      <c r="E86" s="7"/>
      <c r="F86" s="7"/>
      <c r="G86" s="7"/>
      <c r="H86" s="7"/>
      <c r="I86" s="7"/>
    </row>
    <row r="87" spans="1:10" ht="19.5" customHeight="1" x14ac:dyDescent="0.4">
      <c r="A87" s="120" t="s">
        <v>387</v>
      </c>
      <c r="B87" s="141" t="s">
        <v>388</v>
      </c>
      <c r="C87" s="9" t="s">
        <v>389</v>
      </c>
      <c r="D87" s="2" t="s">
        <v>380</v>
      </c>
      <c r="E87" s="3" t="s">
        <v>319</v>
      </c>
      <c r="F87" s="28" t="s">
        <v>346</v>
      </c>
      <c r="G87" s="49" t="s">
        <v>390</v>
      </c>
      <c r="H87" s="50" t="s">
        <v>323</v>
      </c>
      <c r="I87" s="7"/>
    </row>
    <row r="88" spans="1:10" ht="19.5" customHeight="1" x14ac:dyDescent="0.4">
      <c r="A88" s="121"/>
      <c r="B88" s="142"/>
      <c r="C88" s="9" t="s">
        <v>391</v>
      </c>
      <c r="D88" s="18"/>
      <c r="E88" s="17"/>
      <c r="F88" s="27"/>
      <c r="G88" s="18"/>
      <c r="H88" s="19"/>
      <c r="I88" s="7"/>
    </row>
    <row r="89" spans="1:10" ht="19.5" customHeight="1" x14ac:dyDescent="0.4">
      <c r="A89" s="121"/>
      <c r="B89" s="143"/>
      <c r="C89" s="16" t="s">
        <v>290</v>
      </c>
      <c r="D89" s="7"/>
      <c r="E89" s="7"/>
      <c r="F89" s="7"/>
      <c r="G89" s="7"/>
      <c r="H89" s="7"/>
      <c r="I89" s="7"/>
    </row>
    <row r="90" spans="1:10" ht="19.5" customHeight="1" x14ac:dyDescent="0.4">
      <c r="A90" s="121"/>
      <c r="B90" s="144"/>
      <c r="C90" s="16" t="s">
        <v>291</v>
      </c>
      <c r="D90" s="7"/>
      <c r="E90" s="7"/>
      <c r="F90" s="7"/>
      <c r="G90" s="7"/>
      <c r="H90" s="7"/>
      <c r="I90" s="7"/>
    </row>
    <row r="91" spans="1:10" ht="19.5" customHeight="1" x14ac:dyDescent="0.4">
      <c r="A91" s="120">
        <v>23</v>
      </c>
      <c r="B91" s="115" t="s">
        <v>392</v>
      </c>
      <c r="C91" s="10" t="s">
        <v>393</v>
      </c>
      <c r="D91" s="2" t="s">
        <v>361</v>
      </c>
      <c r="E91" s="4" t="s">
        <v>295</v>
      </c>
      <c r="F91" s="3" t="s">
        <v>394</v>
      </c>
      <c r="G91" s="2" t="s">
        <v>329</v>
      </c>
      <c r="H91" s="3" t="s">
        <v>334</v>
      </c>
      <c r="I91" s="7"/>
    </row>
    <row r="92" spans="1:10" ht="19.5" customHeight="1" x14ac:dyDescent="0.4">
      <c r="A92" s="121"/>
      <c r="B92" s="116"/>
      <c r="C92" s="26" t="s">
        <v>28</v>
      </c>
      <c r="D92" s="18"/>
      <c r="E92" s="19"/>
      <c r="F92" s="17"/>
      <c r="G92" s="18"/>
      <c r="H92" s="17"/>
      <c r="I92" s="7"/>
    </row>
    <row r="93" spans="1:10" ht="19.5" customHeight="1" x14ac:dyDescent="0.4">
      <c r="A93" s="121"/>
      <c r="B93" s="116"/>
      <c r="C93" s="26" t="s">
        <v>29</v>
      </c>
      <c r="D93" s="7"/>
      <c r="E93" s="7"/>
      <c r="F93" s="7"/>
      <c r="G93" s="7"/>
      <c r="H93" s="7"/>
      <c r="I93" s="7"/>
    </row>
    <row r="94" spans="1:10" ht="19.5" customHeight="1" x14ac:dyDescent="0.4">
      <c r="A94" s="121"/>
      <c r="B94" s="116"/>
      <c r="C94" s="26" t="s">
        <v>30</v>
      </c>
      <c r="D94" s="7"/>
      <c r="E94" s="7"/>
      <c r="F94" s="7"/>
      <c r="G94" s="7"/>
      <c r="H94" s="7"/>
      <c r="I94" s="7"/>
    </row>
    <row r="95" spans="1:10" ht="19.5" customHeight="1" x14ac:dyDescent="0.4">
      <c r="A95" s="121"/>
      <c r="B95" s="116"/>
      <c r="C95" s="10" t="s">
        <v>395</v>
      </c>
      <c r="D95" s="7"/>
      <c r="E95" s="2" t="s">
        <v>362</v>
      </c>
      <c r="F95" s="3" t="s">
        <v>331</v>
      </c>
      <c r="G95" s="4" t="s">
        <v>330</v>
      </c>
      <c r="H95" s="3" t="s">
        <v>333</v>
      </c>
      <c r="I95" s="7"/>
    </row>
    <row r="96" spans="1:10" ht="19.5" customHeight="1" x14ac:dyDescent="0.4">
      <c r="A96" s="121"/>
      <c r="B96" s="116"/>
      <c r="C96" s="26" t="s">
        <v>28</v>
      </c>
      <c r="D96" s="7"/>
      <c r="E96" s="18"/>
      <c r="F96" s="17"/>
      <c r="G96" s="19"/>
      <c r="H96" s="17"/>
      <c r="I96" s="7"/>
    </row>
    <row r="97" spans="1:9" ht="19.5" customHeight="1" x14ac:dyDescent="0.4">
      <c r="A97" s="121"/>
      <c r="B97" s="116"/>
      <c r="C97" s="26" t="s">
        <v>29</v>
      </c>
      <c r="D97" s="7"/>
      <c r="E97" s="7"/>
      <c r="F97" s="7"/>
      <c r="G97" s="7"/>
      <c r="H97" s="7"/>
      <c r="I97" s="7"/>
    </row>
    <row r="98" spans="1:9" ht="19.5" customHeight="1" x14ac:dyDescent="0.4">
      <c r="A98" s="134"/>
      <c r="B98" s="117"/>
      <c r="C98" s="26" t="s">
        <v>30</v>
      </c>
      <c r="D98" s="7"/>
      <c r="E98" s="7"/>
      <c r="F98" s="7"/>
      <c r="G98" s="7"/>
      <c r="H98" s="7"/>
      <c r="I98" s="7"/>
    </row>
    <row r="99" spans="1:9" ht="19.5" customHeight="1" x14ac:dyDescent="0.4">
      <c r="A99" s="120">
        <v>24</v>
      </c>
      <c r="B99" s="145" t="s">
        <v>396</v>
      </c>
      <c r="C99" s="10" t="s">
        <v>397</v>
      </c>
      <c r="D99" s="3" t="s">
        <v>306</v>
      </c>
      <c r="E99" s="1" t="s">
        <v>398</v>
      </c>
      <c r="F99" s="3" t="s">
        <v>335</v>
      </c>
      <c r="G99" s="2" t="s">
        <v>399</v>
      </c>
      <c r="H99" s="3" t="s">
        <v>400</v>
      </c>
      <c r="I99" s="7"/>
    </row>
    <row r="100" spans="1:9" ht="19.5" customHeight="1" x14ac:dyDescent="0.4">
      <c r="A100" s="121"/>
      <c r="B100" s="146"/>
      <c r="C100" s="26" t="s">
        <v>28</v>
      </c>
      <c r="D100" s="17"/>
      <c r="E100" s="20"/>
      <c r="F100" s="17"/>
      <c r="G100" s="18"/>
      <c r="H100" s="17"/>
      <c r="I100" s="7"/>
    </row>
    <row r="101" spans="1:9" ht="19.5" customHeight="1" x14ac:dyDescent="0.4">
      <c r="A101" s="121"/>
      <c r="B101" s="147"/>
      <c r="C101" s="26" t="s">
        <v>29</v>
      </c>
      <c r="D101" s="7"/>
      <c r="E101" s="7"/>
      <c r="F101" s="7"/>
      <c r="G101" s="7"/>
      <c r="H101" s="7"/>
      <c r="I101" s="7"/>
    </row>
    <row r="102" spans="1:9" ht="19.5" customHeight="1" x14ac:dyDescent="0.4">
      <c r="A102" s="121"/>
      <c r="B102" s="147"/>
      <c r="C102" s="26" t="s">
        <v>30</v>
      </c>
      <c r="D102" s="7"/>
      <c r="E102" s="7"/>
      <c r="F102" s="7"/>
      <c r="G102" s="7"/>
      <c r="H102" s="7"/>
      <c r="I102" s="7"/>
    </row>
    <row r="103" spans="1:9" ht="19.5" customHeight="1" x14ac:dyDescent="0.4">
      <c r="A103" s="118">
        <v>25</v>
      </c>
      <c r="B103" s="105" t="s">
        <v>401</v>
      </c>
      <c r="C103" s="9" t="s">
        <v>402</v>
      </c>
      <c r="D103" s="2" t="s">
        <v>403</v>
      </c>
      <c r="E103" s="4" t="s">
        <v>343</v>
      </c>
      <c r="F103" s="3" t="s">
        <v>404</v>
      </c>
      <c r="G103" s="2" t="s">
        <v>339</v>
      </c>
      <c r="H103" s="4" t="s">
        <v>405</v>
      </c>
      <c r="I103" s="7"/>
    </row>
    <row r="104" spans="1:9" ht="19.5" customHeight="1" x14ac:dyDescent="0.4">
      <c r="A104" s="119"/>
      <c r="B104" s="106"/>
      <c r="C104" s="16" t="s">
        <v>28</v>
      </c>
      <c r="D104" s="18"/>
      <c r="E104" s="19"/>
      <c r="F104" s="17"/>
      <c r="G104" s="18"/>
      <c r="H104" s="19"/>
      <c r="I104" s="7"/>
    </row>
    <row r="105" spans="1:9" ht="19.5" customHeight="1" x14ac:dyDescent="0.4">
      <c r="A105" s="119"/>
      <c r="B105" s="106"/>
      <c r="C105" s="16" t="s">
        <v>29</v>
      </c>
      <c r="D105" s="7"/>
      <c r="E105" s="7"/>
      <c r="F105" s="7"/>
      <c r="G105" s="7"/>
      <c r="H105" s="7"/>
      <c r="I105" s="7"/>
    </row>
    <row r="106" spans="1:9" ht="19.5" customHeight="1" x14ac:dyDescent="0.4">
      <c r="A106" s="119"/>
      <c r="B106" s="106"/>
      <c r="C106" s="16" t="s">
        <v>30</v>
      </c>
      <c r="D106" s="7"/>
      <c r="E106" s="7"/>
      <c r="F106" s="7"/>
      <c r="G106" s="7"/>
      <c r="H106" s="7"/>
      <c r="I106" s="7"/>
    </row>
    <row r="107" spans="1:9" ht="19.5" customHeight="1" x14ac:dyDescent="0.4">
      <c r="A107" s="119"/>
      <c r="B107" s="106"/>
      <c r="C107" s="9" t="s">
        <v>406</v>
      </c>
      <c r="D107" s="3" t="s">
        <v>298</v>
      </c>
      <c r="E107" s="4" t="s">
        <v>340</v>
      </c>
      <c r="F107" s="3" t="s">
        <v>299</v>
      </c>
      <c r="G107" s="2" t="s">
        <v>380</v>
      </c>
      <c r="H107" s="4" t="s">
        <v>407</v>
      </c>
      <c r="I107" s="7"/>
    </row>
    <row r="108" spans="1:9" ht="19.5" customHeight="1" x14ac:dyDescent="0.4">
      <c r="A108" s="119"/>
      <c r="B108" s="106"/>
      <c r="C108" s="16" t="s">
        <v>28</v>
      </c>
      <c r="D108" s="17"/>
      <c r="E108" s="19"/>
      <c r="F108" s="17"/>
      <c r="G108" s="18"/>
      <c r="H108" s="19"/>
      <c r="I108" s="7"/>
    </row>
    <row r="109" spans="1:9" ht="19.5" customHeight="1" x14ac:dyDescent="0.4">
      <c r="A109" s="119"/>
      <c r="B109" s="106"/>
      <c r="C109" s="16" t="s">
        <v>29</v>
      </c>
      <c r="D109" s="7"/>
      <c r="E109" s="7"/>
      <c r="F109" s="7"/>
      <c r="G109" s="7"/>
      <c r="H109" s="7"/>
      <c r="I109" s="7"/>
    </row>
    <row r="110" spans="1:9" ht="19.5" customHeight="1" x14ac:dyDescent="0.4">
      <c r="A110" s="122"/>
      <c r="B110" s="107"/>
      <c r="C110" s="16" t="s">
        <v>30</v>
      </c>
      <c r="D110" s="7"/>
      <c r="E110" s="7"/>
      <c r="F110" s="7"/>
      <c r="G110" s="7"/>
      <c r="H110" s="7"/>
      <c r="I110" s="7"/>
    </row>
    <row r="111" spans="1:9" ht="19.5" customHeight="1" x14ac:dyDescent="0.4">
      <c r="A111" s="118">
        <v>26</v>
      </c>
      <c r="B111" s="105" t="s">
        <v>65</v>
      </c>
      <c r="C111" s="9" t="s">
        <v>408</v>
      </c>
      <c r="D111" s="7"/>
      <c r="E111" s="2" t="s">
        <v>349</v>
      </c>
      <c r="F111" s="4" t="s">
        <v>384</v>
      </c>
      <c r="G111" s="3" t="s">
        <v>409</v>
      </c>
      <c r="H111" s="2" t="s">
        <v>410</v>
      </c>
      <c r="I111" s="7"/>
    </row>
    <row r="112" spans="1:9" ht="19.5" customHeight="1" x14ac:dyDescent="0.4">
      <c r="A112" s="119"/>
      <c r="B112" s="106"/>
      <c r="C112" s="16" t="s">
        <v>28</v>
      </c>
      <c r="D112" s="7"/>
      <c r="E112" s="18"/>
      <c r="F112" s="19"/>
      <c r="G112" s="17"/>
      <c r="H112" s="18"/>
      <c r="I112" s="7"/>
    </row>
    <row r="113" spans="1:9" ht="19.5" customHeight="1" x14ac:dyDescent="0.4">
      <c r="A113" s="119"/>
      <c r="B113" s="106"/>
      <c r="C113" s="16" t="s">
        <v>29</v>
      </c>
      <c r="D113" s="7"/>
      <c r="E113" s="7"/>
      <c r="F113" s="7"/>
      <c r="G113" s="7"/>
      <c r="H113" s="7"/>
      <c r="I113" s="7"/>
    </row>
    <row r="114" spans="1:9" ht="19.5" customHeight="1" x14ac:dyDescent="0.4">
      <c r="A114" s="119"/>
      <c r="B114" s="106"/>
      <c r="C114" s="16" t="s">
        <v>30</v>
      </c>
      <c r="D114" s="7"/>
      <c r="E114" s="7"/>
      <c r="F114" s="7"/>
      <c r="G114" s="7"/>
      <c r="H114" s="7"/>
      <c r="I114" s="7"/>
    </row>
    <row r="115" spans="1:9" ht="19.5" customHeight="1" x14ac:dyDescent="0.4">
      <c r="A115" s="119"/>
      <c r="B115" s="106"/>
      <c r="C115" s="9" t="s">
        <v>411</v>
      </c>
      <c r="D115" s="7"/>
      <c r="E115" s="2" t="s">
        <v>348</v>
      </c>
      <c r="F115" s="4" t="s">
        <v>412</v>
      </c>
      <c r="G115" s="3" t="s">
        <v>326</v>
      </c>
      <c r="H115" s="2" t="s">
        <v>365</v>
      </c>
      <c r="I115" s="7"/>
    </row>
    <row r="116" spans="1:9" ht="19.5" customHeight="1" x14ac:dyDescent="0.4">
      <c r="A116" s="119"/>
      <c r="B116" s="106"/>
      <c r="C116" s="16" t="s">
        <v>28</v>
      </c>
      <c r="D116" s="7"/>
      <c r="E116" s="18"/>
      <c r="F116" s="19"/>
      <c r="G116" s="17"/>
      <c r="H116" s="18"/>
      <c r="I116" s="7"/>
    </row>
    <row r="117" spans="1:9" ht="19.5" customHeight="1" x14ac:dyDescent="0.4">
      <c r="A117" s="119"/>
      <c r="B117" s="106"/>
      <c r="C117" s="16" t="s">
        <v>29</v>
      </c>
      <c r="D117" s="7"/>
      <c r="E117" s="7"/>
      <c r="F117" s="7"/>
      <c r="G117" s="7"/>
      <c r="H117" s="7"/>
      <c r="I117" s="7"/>
    </row>
    <row r="118" spans="1:9" ht="19.5" customHeight="1" x14ac:dyDescent="0.4">
      <c r="A118" s="122"/>
      <c r="B118" s="107"/>
      <c r="C118" s="16" t="s">
        <v>30</v>
      </c>
      <c r="D118" s="7"/>
      <c r="E118" s="7"/>
      <c r="F118" s="7"/>
      <c r="G118" s="7"/>
      <c r="H118" s="7"/>
      <c r="I118" s="7"/>
    </row>
    <row r="119" spans="1:9" ht="19.5" customHeight="1" x14ac:dyDescent="0.4">
      <c r="A119" s="118">
        <v>27</v>
      </c>
      <c r="B119" s="115" t="s">
        <v>413</v>
      </c>
      <c r="C119" s="10" t="s">
        <v>414</v>
      </c>
      <c r="D119" s="7"/>
      <c r="E119" s="2" t="s">
        <v>296</v>
      </c>
      <c r="F119" s="4" t="s">
        <v>415</v>
      </c>
      <c r="G119" s="3" t="s">
        <v>303</v>
      </c>
      <c r="H119" s="7"/>
      <c r="I119" s="7"/>
    </row>
    <row r="120" spans="1:9" ht="19.5" customHeight="1" x14ac:dyDescent="0.4">
      <c r="A120" s="119"/>
      <c r="B120" s="116"/>
      <c r="C120" s="26" t="s">
        <v>28</v>
      </c>
      <c r="D120" s="7"/>
      <c r="E120" s="18"/>
      <c r="F120" s="19"/>
      <c r="G120" s="3"/>
      <c r="H120" s="7"/>
      <c r="I120" s="7"/>
    </row>
    <row r="121" spans="1:9" ht="19.5" customHeight="1" x14ac:dyDescent="0.4">
      <c r="A121" s="126"/>
      <c r="B121" s="116"/>
      <c r="C121" s="26" t="s">
        <v>29</v>
      </c>
      <c r="D121" s="7"/>
      <c r="E121" s="7"/>
      <c r="F121" s="7"/>
      <c r="G121" s="7"/>
      <c r="H121" s="7"/>
      <c r="I121" s="7"/>
    </row>
    <row r="122" spans="1:9" ht="19.5" customHeight="1" x14ac:dyDescent="0.4">
      <c r="A122" s="127"/>
      <c r="B122" s="117"/>
      <c r="C122" s="26" t="s">
        <v>30</v>
      </c>
      <c r="D122" s="7"/>
      <c r="E122" s="7"/>
      <c r="F122" s="7"/>
      <c r="G122" s="7"/>
      <c r="H122" s="7"/>
      <c r="I122" s="7"/>
    </row>
    <row r="123" spans="1:9" ht="19.5" customHeight="1" x14ac:dyDescent="0.4">
      <c r="A123" s="118">
        <v>28</v>
      </c>
      <c r="B123" s="105" t="s">
        <v>416</v>
      </c>
      <c r="C123" s="9" t="s">
        <v>417</v>
      </c>
      <c r="D123" s="3" t="s">
        <v>418</v>
      </c>
      <c r="E123" s="4" t="s">
        <v>419</v>
      </c>
      <c r="F123" s="3" t="s">
        <v>317</v>
      </c>
      <c r="G123" s="2" t="s">
        <v>379</v>
      </c>
      <c r="H123" s="3" t="s">
        <v>313</v>
      </c>
      <c r="I123" s="7"/>
    </row>
    <row r="124" spans="1:9" ht="19.5" customHeight="1" x14ac:dyDescent="0.4">
      <c r="A124" s="119"/>
      <c r="B124" s="106"/>
      <c r="C124" s="16" t="s">
        <v>28</v>
      </c>
      <c r="D124" s="3"/>
      <c r="E124" s="19"/>
      <c r="F124" s="3"/>
      <c r="G124" s="18"/>
      <c r="H124" s="3"/>
      <c r="I124" s="7"/>
    </row>
    <row r="125" spans="1:9" ht="19.5" customHeight="1" x14ac:dyDescent="0.4">
      <c r="A125" s="119"/>
      <c r="B125" s="106"/>
      <c r="C125" s="16" t="s">
        <v>29</v>
      </c>
      <c r="D125" s="7"/>
      <c r="E125" s="7"/>
      <c r="F125" s="7"/>
      <c r="G125" s="7"/>
      <c r="H125" s="7"/>
      <c r="I125" s="7"/>
    </row>
    <row r="126" spans="1:9" ht="19.5" customHeight="1" x14ac:dyDescent="0.4">
      <c r="A126" s="122"/>
      <c r="B126" s="107"/>
      <c r="C126" s="16" t="s">
        <v>30</v>
      </c>
      <c r="D126" s="7"/>
      <c r="E126" s="7"/>
      <c r="F126" s="7"/>
      <c r="G126" s="7"/>
      <c r="H126" s="7"/>
      <c r="I126" s="7"/>
    </row>
    <row r="127" spans="1:9" ht="19.5" customHeight="1" x14ac:dyDescent="0.4">
      <c r="A127" s="118">
        <v>29</v>
      </c>
      <c r="B127" s="138" t="s">
        <v>67</v>
      </c>
      <c r="C127" s="9" t="s">
        <v>420</v>
      </c>
      <c r="D127" s="7"/>
      <c r="E127" s="2" t="s">
        <v>322</v>
      </c>
      <c r="F127" s="3" t="s">
        <v>324</v>
      </c>
      <c r="G127" s="4" t="s">
        <v>323</v>
      </c>
      <c r="H127" s="3" t="s">
        <v>326</v>
      </c>
      <c r="I127" s="7"/>
    </row>
    <row r="128" spans="1:9" ht="19.5" customHeight="1" x14ac:dyDescent="0.4">
      <c r="A128" s="119"/>
      <c r="B128" s="139"/>
      <c r="C128" s="16" t="s">
        <v>28</v>
      </c>
      <c r="D128" s="7"/>
      <c r="E128" s="18"/>
      <c r="F128" s="3"/>
      <c r="G128" s="19"/>
      <c r="H128" s="3"/>
      <c r="I128" s="7"/>
    </row>
    <row r="129" spans="1:9" ht="19.5" customHeight="1" x14ac:dyDescent="0.4">
      <c r="A129" s="119"/>
      <c r="B129" s="139"/>
      <c r="C129" s="16" t="s">
        <v>29</v>
      </c>
      <c r="D129" s="7"/>
      <c r="E129" s="7"/>
      <c r="F129" s="7"/>
      <c r="G129" s="7"/>
      <c r="H129" s="7"/>
      <c r="I129" s="7"/>
    </row>
    <row r="130" spans="1:9" ht="19.5" customHeight="1" x14ac:dyDescent="0.4">
      <c r="A130" s="122"/>
      <c r="B130" s="140"/>
      <c r="C130" s="16" t="s">
        <v>30</v>
      </c>
      <c r="D130" s="7"/>
      <c r="E130" s="7"/>
      <c r="F130" s="7"/>
      <c r="G130" s="7"/>
      <c r="H130" s="7"/>
      <c r="I130" s="7"/>
    </row>
    <row r="131" spans="1:9" ht="19.5" customHeight="1" x14ac:dyDescent="0.4">
      <c r="A131" s="118">
        <v>30</v>
      </c>
      <c r="B131" s="105" t="s">
        <v>68</v>
      </c>
      <c r="C131" s="8" t="s">
        <v>421</v>
      </c>
      <c r="D131" s="4" t="s">
        <v>342</v>
      </c>
      <c r="E131" s="2" t="s">
        <v>422</v>
      </c>
      <c r="F131" s="1" t="s">
        <v>364</v>
      </c>
      <c r="G131" s="3" t="s">
        <v>288</v>
      </c>
      <c r="H131" s="4" t="s">
        <v>405</v>
      </c>
      <c r="I131" s="3" t="s">
        <v>346</v>
      </c>
    </row>
    <row r="132" spans="1:9" ht="19.5" customHeight="1" x14ac:dyDescent="0.4">
      <c r="A132" s="119"/>
      <c r="B132" s="106"/>
      <c r="C132" s="16" t="s">
        <v>28</v>
      </c>
      <c r="D132" s="19"/>
      <c r="E132" s="18"/>
      <c r="F132" s="20"/>
      <c r="G132" s="3"/>
      <c r="H132" s="19"/>
      <c r="I132" s="17"/>
    </row>
    <row r="133" spans="1:9" ht="19.5" customHeight="1" x14ac:dyDescent="0.4">
      <c r="A133" s="126"/>
      <c r="B133" s="106"/>
      <c r="C133" s="16" t="s">
        <v>29</v>
      </c>
      <c r="D133" s="7"/>
      <c r="E133" s="7"/>
      <c r="F133" s="7"/>
      <c r="G133" s="7"/>
      <c r="H133" s="7"/>
      <c r="I133" s="7"/>
    </row>
    <row r="134" spans="1:9" ht="19.5" customHeight="1" x14ac:dyDescent="0.4">
      <c r="A134" s="127"/>
      <c r="B134" s="107"/>
      <c r="C134" s="16" t="s">
        <v>30</v>
      </c>
      <c r="D134" s="7"/>
      <c r="E134" s="7"/>
      <c r="F134" s="7"/>
      <c r="G134" s="7"/>
      <c r="H134" s="7"/>
      <c r="I134" s="7"/>
    </row>
    <row r="135" spans="1:9" ht="19.5" customHeight="1" x14ac:dyDescent="0.4">
      <c r="A135" s="118">
        <v>31</v>
      </c>
      <c r="B135" s="105" t="s">
        <v>69</v>
      </c>
      <c r="C135" s="9" t="s">
        <v>423</v>
      </c>
      <c r="D135" s="7"/>
      <c r="E135" s="7"/>
      <c r="F135" s="2" t="s">
        <v>424</v>
      </c>
      <c r="G135" s="3" t="s">
        <v>347</v>
      </c>
      <c r="H135" s="7"/>
      <c r="I135" s="7"/>
    </row>
    <row r="136" spans="1:9" ht="19.5" customHeight="1" x14ac:dyDescent="0.4">
      <c r="A136" s="119"/>
      <c r="B136" s="106"/>
      <c r="C136" s="16" t="s">
        <v>28</v>
      </c>
      <c r="D136" s="7"/>
      <c r="E136" s="7"/>
      <c r="F136" s="18"/>
      <c r="G136" s="3"/>
      <c r="H136" s="7"/>
      <c r="I136" s="7"/>
    </row>
    <row r="137" spans="1:9" ht="19.5" customHeight="1" x14ac:dyDescent="0.4">
      <c r="A137" s="126"/>
      <c r="B137" s="106"/>
      <c r="C137" s="16" t="s">
        <v>29</v>
      </c>
      <c r="D137" s="24"/>
      <c r="E137" s="21"/>
      <c r="F137" s="21"/>
      <c r="G137" s="21"/>
      <c r="H137" s="21"/>
      <c r="I137" s="7"/>
    </row>
    <row r="138" spans="1:9" ht="19.5" customHeight="1" x14ac:dyDescent="0.4">
      <c r="A138" s="127"/>
      <c r="B138" s="107"/>
      <c r="C138" s="16" t="s">
        <v>30</v>
      </c>
      <c r="D138" s="24"/>
      <c r="E138" s="21"/>
      <c r="F138" s="21"/>
      <c r="G138" s="21"/>
      <c r="H138" s="21"/>
      <c r="I138" s="7"/>
    </row>
    <row r="139" spans="1:9" ht="19.5" customHeight="1" x14ac:dyDescent="0.4">
      <c r="A139" s="131" t="s">
        <v>357</v>
      </c>
      <c r="B139" s="132"/>
      <c r="C139" s="132"/>
      <c r="D139" s="132"/>
      <c r="E139" s="133"/>
      <c r="F139" s="133"/>
      <c r="G139" s="133"/>
      <c r="H139" s="133"/>
      <c r="I139" s="132"/>
    </row>
    <row r="140" spans="1:9" ht="19.5" customHeight="1" x14ac:dyDescent="0.4">
      <c r="A140" s="118">
        <v>32</v>
      </c>
      <c r="B140" s="148" t="s">
        <v>425</v>
      </c>
      <c r="C140" s="12" t="s">
        <v>426</v>
      </c>
      <c r="D140" s="6"/>
      <c r="E140" s="1" t="s">
        <v>352</v>
      </c>
      <c r="F140" s="2" t="s">
        <v>353</v>
      </c>
      <c r="G140" s="13" t="s">
        <v>355</v>
      </c>
      <c r="H140" s="24"/>
      <c r="I140" s="6"/>
    </row>
    <row r="141" spans="1:9" ht="19.5" customHeight="1" x14ac:dyDescent="0.4">
      <c r="A141" s="119"/>
      <c r="B141" s="149"/>
      <c r="C141" s="32" t="s">
        <v>28</v>
      </c>
      <c r="D141" s="24"/>
      <c r="E141" s="20"/>
      <c r="F141" s="18"/>
      <c r="G141" s="17"/>
      <c r="H141" s="24"/>
      <c r="I141" s="24"/>
    </row>
    <row r="142" spans="1:9" ht="19.5" customHeight="1" x14ac:dyDescent="0.4">
      <c r="A142" s="126"/>
      <c r="B142" s="126"/>
      <c r="C142" s="32" t="s">
        <v>29</v>
      </c>
      <c r="D142" s="24"/>
      <c r="E142" s="21"/>
      <c r="F142" s="21"/>
      <c r="G142" s="21"/>
      <c r="H142" s="21"/>
      <c r="I142" s="24"/>
    </row>
    <row r="143" spans="1:9" ht="19.5" customHeight="1" x14ac:dyDescent="0.4">
      <c r="A143" s="127"/>
      <c r="B143" s="127"/>
      <c r="C143" s="32" t="s">
        <v>30</v>
      </c>
      <c r="D143" s="24"/>
      <c r="E143" s="21"/>
      <c r="F143" s="21"/>
      <c r="G143" s="21"/>
      <c r="H143" s="23"/>
      <c r="I143" s="24"/>
    </row>
    <row r="144" spans="1:9" ht="19.5" customHeight="1" x14ac:dyDescent="0.4">
      <c r="A144" s="118">
        <v>33</v>
      </c>
      <c r="B144" s="128" t="s">
        <v>427</v>
      </c>
      <c r="C144" s="11" t="s">
        <v>428</v>
      </c>
      <c r="D144" s="6"/>
      <c r="E144" s="13" t="s">
        <v>355</v>
      </c>
      <c r="F144" s="2" t="s">
        <v>353</v>
      </c>
      <c r="G144" s="4" t="s">
        <v>354</v>
      </c>
      <c r="H144" s="23"/>
      <c r="I144" s="24"/>
    </row>
    <row r="145" spans="1:9" ht="19.5" customHeight="1" x14ac:dyDescent="0.4">
      <c r="A145" s="119"/>
      <c r="B145" s="129"/>
      <c r="C145" s="31" t="s">
        <v>28</v>
      </c>
      <c r="D145" s="24"/>
      <c r="E145" s="17"/>
      <c r="F145" s="18"/>
      <c r="G145" s="19"/>
      <c r="H145" s="23"/>
      <c r="I145" s="24"/>
    </row>
    <row r="146" spans="1:9" ht="19.5" customHeight="1" x14ac:dyDescent="0.4">
      <c r="A146" s="126"/>
      <c r="B146" s="129"/>
      <c r="C146" s="31" t="s">
        <v>29</v>
      </c>
      <c r="D146" s="24"/>
      <c r="E146" s="21"/>
      <c r="F146" s="21"/>
      <c r="G146" s="21"/>
      <c r="H146" s="21"/>
      <c r="I146" s="24"/>
    </row>
    <row r="147" spans="1:9" ht="19.5" customHeight="1" x14ac:dyDescent="0.4">
      <c r="A147" s="127"/>
      <c r="B147" s="130"/>
      <c r="C147" s="31" t="s">
        <v>30</v>
      </c>
      <c r="D147" s="24"/>
      <c r="E147" s="21"/>
      <c r="F147" s="21"/>
      <c r="G147" s="21"/>
      <c r="H147" s="21"/>
      <c r="I147" s="24"/>
    </row>
    <row r="148" spans="1:9" ht="19.5" customHeight="1" x14ac:dyDescent="0.4">
      <c r="A148" s="118">
        <v>34</v>
      </c>
      <c r="B148" s="128" t="s">
        <v>429</v>
      </c>
      <c r="C148" s="11" t="s">
        <v>430</v>
      </c>
      <c r="D148" s="24"/>
      <c r="E148" s="1" t="s">
        <v>352</v>
      </c>
      <c r="F148" s="2" t="s">
        <v>353</v>
      </c>
      <c r="G148" s="4" t="s">
        <v>354</v>
      </c>
      <c r="H148" s="13" t="s">
        <v>355</v>
      </c>
      <c r="I148" s="24"/>
    </row>
    <row r="149" spans="1:9" ht="19.5" customHeight="1" x14ac:dyDescent="0.4">
      <c r="A149" s="119"/>
      <c r="B149" s="129"/>
      <c r="C149" s="31" t="s">
        <v>28</v>
      </c>
      <c r="D149" s="24"/>
      <c r="E149" s="20"/>
      <c r="F149" s="18"/>
      <c r="G149" s="19"/>
      <c r="H149" s="17"/>
      <c r="I149" s="24"/>
    </row>
    <row r="150" spans="1:9" ht="19.5" customHeight="1" x14ac:dyDescent="0.4">
      <c r="A150" s="126"/>
      <c r="B150" s="129"/>
      <c r="C150" s="31" t="s">
        <v>29</v>
      </c>
      <c r="D150" s="24"/>
      <c r="E150" s="21"/>
      <c r="F150" s="21"/>
      <c r="G150" s="21"/>
      <c r="H150" s="21"/>
      <c r="I150" s="24"/>
    </row>
    <row r="151" spans="1:9" ht="19.5" customHeight="1" x14ac:dyDescent="0.4">
      <c r="A151" s="127"/>
      <c r="B151" s="130"/>
      <c r="C151" s="31" t="s">
        <v>30</v>
      </c>
      <c r="D151" s="24"/>
      <c r="E151" s="21"/>
      <c r="F151" s="21"/>
      <c r="G151" s="21"/>
      <c r="H151" s="21"/>
      <c r="I151" s="24"/>
    </row>
    <row r="152" spans="1:9" ht="19.5" customHeight="1" x14ac:dyDescent="0.4">
      <c r="A152" s="33"/>
      <c r="B152" s="34" t="s">
        <v>431</v>
      </c>
      <c r="C152" s="35"/>
      <c r="D152" s="36"/>
      <c r="E152" s="41" t="s">
        <v>432</v>
      </c>
      <c r="F152" s="42" t="s">
        <v>433</v>
      </c>
      <c r="G152" s="43" t="s">
        <v>434</v>
      </c>
      <c r="H152" s="44" t="s">
        <v>435</v>
      </c>
    </row>
    <row r="153" spans="1:9" ht="19.5" customHeight="1" x14ac:dyDescent="0.4">
      <c r="A153" s="33"/>
      <c r="B153" s="35" t="s">
        <v>436</v>
      </c>
      <c r="C153" s="35"/>
      <c r="D153" s="36"/>
      <c r="E153" s="37"/>
      <c r="F153" s="38"/>
      <c r="G153" s="39"/>
      <c r="H153" s="40"/>
      <c r="I153" s="36"/>
    </row>
    <row r="154" spans="1:9" ht="19.5" customHeight="1" x14ac:dyDescent="0.4">
      <c r="A154" s="33"/>
      <c r="B154" s="35" t="s">
        <v>437</v>
      </c>
      <c r="C154" s="35"/>
      <c r="D154" s="36"/>
      <c r="E154" s="37"/>
      <c r="F154" s="38"/>
      <c r="G154" s="39"/>
      <c r="H154" s="40"/>
      <c r="I154" s="36"/>
    </row>
    <row r="155" spans="1:9" ht="19.5" customHeight="1" x14ac:dyDescent="0.4">
      <c r="A155" s="33"/>
      <c r="B155" s="35" t="s">
        <v>438</v>
      </c>
      <c r="C155" s="35"/>
      <c r="D155" s="36"/>
      <c r="E155" s="37"/>
      <c r="F155" s="38"/>
      <c r="G155" s="39"/>
      <c r="H155" s="40"/>
      <c r="I155" s="36"/>
    </row>
    <row r="156" spans="1:9" ht="19.5" customHeight="1" x14ac:dyDescent="0.4">
      <c r="A156" s="33"/>
      <c r="B156" s="35" t="s">
        <v>439</v>
      </c>
      <c r="C156" s="35"/>
      <c r="D156" s="36"/>
      <c r="E156" s="37"/>
      <c r="F156" s="38"/>
      <c r="G156" s="39"/>
      <c r="H156" s="40"/>
      <c r="I156" s="36"/>
    </row>
    <row r="157" spans="1:9" ht="19.5" customHeight="1" x14ac:dyDescent="0.4"/>
    <row r="158" spans="1:9" ht="19.5" customHeight="1" x14ac:dyDescent="0.4"/>
    <row r="159" spans="1:9" ht="19.5" customHeight="1" x14ac:dyDescent="0.4"/>
    <row r="160" spans="1:9" ht="19.5" customHeight="1" x14ac:dyDescent="0.4"/>
    <row r="161" ht="19.5" customHeight="1" x14ac:dyDescent="0.4"/>
    <row r="162" ht="19.5" customHeight="1" x14ac:dyDescent="0.4"/>
    <row r="163" ht="19.5" customHeight="1" x14ac:dyDescent="0.4"/>
    <row r="164" ht="19.5" customHeight="1" x14ac:dyDescent="0.4"/>
    <row r="165" ht="19.5" customHeight="1" x14ac:dyDescent="0.4"/>
    <row r="166" ht="19.5" customHeight="1" x14ac:dyDescent="0.4"/>
    <row r="167" ht="19.5" customHeight="1" x14ac:dyDescent="0.4"/>
    <row r="168" ht="19.5" customHeight="1" x14ac:dyDescent="0.4"/>
    <row r="169" ht="19.5" customHeight="1" x14ac:dyDescent="0.4"/>
    <row r="170" ht="19.5" customHeight="1" x14ac:dyDescent="0.4"/>
    <row r="171" ht="19.5" customHeight="1" x14ac:dyDescent="0.4"/>
    <row r="172" ht="19.5" customHeight="1" x14ac:dyDescent="0.4"/>
    <row r="176" ht="16.5" customHeight="1" x14ac:dyDescent="0.4"/>
    <row r="177" spans="1:9" ht="16.5" customHeight="1" x14ac:dyDescent="0.4"/>
    <row r="178" spans="1:9" ht="16.5" customHeight="1" x14ac:dyDescent="0.4"/>
    <row r="179" spans="1:9" ht="16.5" customHeight="1" x14ac:dyDescent="0.4"/>
    <row r="181" spans="1:9" ht="16.5" customHeight="1" x14ac:dyDescent="0.4">
      <c r="A181" s="15"/>
      <c r="B181" s="15"/>
      <c r="C181" s="15"/>
      <c r="D181" s="15"/>
      <c r="E181" s="15"/>
      <c r="F181" s="15"/>
      <c r="G181" s="15"/>
      <c r="H181" s="15"/>
      <c r="I181" s="15"/>
    </row>
    <row r="182" spans="1:9" ht="16.5" customHeight="1" x14ac:dyDescent="0.4">
      <c r="A182" s="15"/>
      <c r="B182" s="15"/>
      <c r="C182" s="15"/>
      <c r="D182" s="15"/>
      <c r="E182" s="15"/>
      <c r="F182" s="15"/>
      <c r="G182" s="15"/>
      <c r="H182" s="15"/>
      <c r="I182" s="15"/>
    </row>
    <row r="183" spans="1:9" ht="16.5" customHeight="1" x14ac:dyDescent="0.4">
      <c r="A183" s="15"/>
      <c r="B183" s="15"/>
      <c r="C183" s="15"/>
      <c r="D183" s="15"/>
      <c r="E183" s="15"/>
      <c r="F183" s="15"/>
      <c r="G183" s="15"/>
      <c r="H183" s="15"/>
      <c r="I183" s="15"/>
    </row>
    <row r="184" spans="1:9" ht="16.5" customHeight="1" x14ac:dyDescent="0.4">
      <c r="A184" s="15"/>
      <c r="B184" s="15"/>
      <c r="C184" s="15"/>
      <c r="D184" s="15"/>
      <c r="E184" s="15"/>
      <c r="F184" s="15"/>
      <c r="G184" s="15"/>
      <c r="H184" s="15"/>
      <c r="I184" s="15"/>
    </row>
    <row r="185" spans="1:9" x14ac:dyDescent="0.4">
      <c r="A185" s="15"/>
      <c r="B185" s="15"/>
      <c r="C185" s="15"/>
      <c r="D185" s="15"/>
      <c r="E185" s="15"/>
      <c r="F185" s="15"/>
      <c r="G185" s="15"/>
      <c r="H185" s="15"/>
      <c r="I185" s="15"/>
    </row>
    <row r="186" spans="1:9" ht="16.5" customHeight="1" x14ac:dyDescent="0.4">
      <c r="A186" s="15"/>
      <c r="B186" s="15"/>
      <c r="C186" s="15"/>
      <c r="D186" s="15"/>
      <c r="E186" s="15"/>
      <c r="F186" s="15"/>
      <c r="G186" s="15"/>
      <c r="H186" s="15"/>
      <c r="I186" s="15"/>
    </row>
    <row r="187" spans="1:9" ht="16.5" customHeight="1" x14ac:dyDescent="0.4"/>
    <row r="188" spans="1:9" ht="16.5" customHeight="1" x14ac:dyDescent="0.4"/>
    <row r="189" spans="1:9" ht="16.5" customHeight="1" x14ac:dyDescent="0.4"/>
    <row r="191" spans="1:9" ht="16.5" customHeight="1" x14ac:dyDescent="0.4"/>
    <row r="192" spans="1:9" ht="16.5" customHeight="1" x14ac:dyDescent="0.4"/>
    <row r="193" spans="10:10" ht="16.5" customHeight="1" x14ac:dyDescent="0.4"/>
    <row r="194" spans="10:10" ht="16.5" customHeight="1" x14ac:dyDescent="0.4"/>
    <row r="195" spans="10:10" ht="16.5" customHeight="1" x14ac:dyDescent="0.4"/>
    <row r="196" spans="10:10" ht="16.5" customHeight="1" x14ac:dyDescent="0.4"/>
    <row r="197" spans="10:10" ht="16.5" customHeight="1" x14ac:dyDescent="0.4"/>
    <row r="198" spans="10:10" ht="16.5" customHeight="1" x14ac:dyDescent="0.4"/>
    <row r="199" spans="10:10" ht="16.5" customHeight="1" x14ac:dyDescent="0.4"/>
    <row r="200" spans="10:10" ht="16.5" customHeight="1" x14ac:dyDescent="0.4">
      <c r="J200"/>
    </row>
    <row r="201" spans="10:10" ht="16.5" customHeight="1" x14ac:dyDescent="0.4"/>
    <row r="202" spans="10:10" ht="16.5" customHeight="1" x14ac:dyDescent="0.4"/>
    <row r="203" spans="10:10" ht="19.5" customHeight="1" x14ac:dyDescent="0.4"/>
  </sheetData>
  <mergeCells count="58">
    <mergeCell ref="A148:A151"/>
    <mergeCell ref="B148:B151"/>
    <mergeCell ref="A135:A138"/>
    <mergeCell ref="B135:B138"/>
    <mergeCell ref="A139:I139"/>
    <mergeCell ref="A140:A143"/>
    <mergeCell ref="B140:B143"/>
    <mergeCell ref="A144:A147"/>
    <mergeCell ref="B144:B147"/>
    <mergeCell ref="A123:A126"/>
    <mergeCell ref="B123:B126"/>
    <mergeCell ref="A127:A130"/>
    <mergeCell ref="B127:B130"/>
    <mergeCell ref="A131:A134"/>
    <mergeCell ref="B131:B134"/>
    <mergeCell ref="A103:A110"/>
    <mergeCell ref="B103:B110"/>
    <mergeCell ref="A111:A118"/>
    <mergeCell ref="B111:B118"/>
    <mergeCell ref="A119:A122"/>
    <mergeCell ref="B119:B122"/>
    <mergeCell ref="A87:A90"/>
    <mergeCell ref="B87:B90"/>
    <mergeCell ref="A91:A98"/>
    <mergeCell ref="B91:B98"/>
    <mergeCell ref="A99:A102"/>
    <mergeCell ref="B99:B102"/>
    <mergeCell ref="A71:A74"/>
    <mergeCell ref="B71:B74"/>
    <mergeCell ref="A75:A82"/>
    <mergeCell ref="B75:B82"/>
    <mergeCell ref="A83:A86"/>
    <mergeCell ref="B83:B86"/>
    <mergeCell ref="A67:A70"/>
    <mergeCell ref="B67:B70"/>
    <mergeCell ref="A34:A41"/>
    <mergeCell ref="B34:B41"/>
    <mergeCell ref="A42:A49"/>
    <mergeCell ref="B42:B49"/>
    <mergeCell ref="A50:A53"/>
    <mergeCell ref="B50:B53"/>
    <mergeCell ref="A54:A57"/>
    <mergeCell ref="B54:B57"/>
    <mergeCell ref="A58:I58"/>
    <mergeCell ref="A59:A66"/>
    <mergeCell ref="B59:B66"/>
    <mergeCell ref="A18:A21"/>
    <mergeCell ref="B18:B21"/>
    <mergeCell ref="A22:A29"/>
    <mergeCell ref="B22:B29"/>
    <mergeCell ref="A30:A33"/>
    <mergeCell ref="B30:B33"/>
    <mergeCell ref="A2:A5"/>
    <mergeCell ref="B2:B5"/>
    <mergeCell ref="A6:A13"/>
    <mergeCell ref="B6:B13"/>
    <mergeCell ref="A14:A17"/>
    <mergeCell ref="B14:B17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0"/>
  <sheetViews>
    <sheetView workbookViewId="0">
      <selection activeCell="A3" sqref="A3"/>
    </sheetView>
  </sheetViews>
  <sheetFormatPr defaultRowHeight="17" x14ac:dyDescent="0.4"/>
  <cols>
    <col min="2" max="2" width="9.453125" bestFit="1" customWidth="1"/>
  </cols>
  <sheetData>
    <row r="2" spans="1:8" x14ac:dyDescent="0.4">
      <c r="A2" s="59">
        <v>20</v>
      </c>
      <c r="B2" s="56"/>
      <c r="C2" s="55"/>
      <c r="D2" s="56"/>
      <c r="E2" s="56"/>
      <c r="F2" s="56"/>
    </row>
    <row r="3" spans="1:8" x14ac:dyDescent="0.4">
      <c r="A3" s="56">
        <v>11</v>
      </c>
    </row>
    <row r="4" spans="1:8" x14ac:dyDescent="0.4">
      <c r="A4" s="55">
        <v>123</v>
      </c>
    </row>
    <row r="5" spans="1:8" x14ac:dyDescent="0.4">
      <c r="A5" t="s">
        <v>200</v>
      </c>
      <c r="B5" t="e">
        <f>IF(E141="-",0,RANK(E141,($E141:$G141),1))</f>
        <v>#N/A</v>
      </c>
      <c r="C5">
        <v>10</v>
      </c>
      <c r="D5">
        <v>1</v>
      </c>
      <c r="F5">
        <v>1100</v>
      </c>
      <c r="G5">
        <v>1</v>
      </c>
      <c r="H5">
        <v>1</v>
      </c>
    </row>
    <row r="6" spans="1:8" x14ac:dyDescent="0.4">
      <c r="B6" t="str">
        <f>Content(B6)</f>
        <v>What</v>
      </c>
      <c r="C6" t="b">
        <f>ISNA(B5)</f>
        <v>1</v>
      </c>
    </row>
    <row r="8" spans="1:8" x14ac:dyDescent="0.4">
      <c r="B8">
        <f ca="1">SumByGPoint(B2, $A2:$A5)</f>
        <v>1101</v>
      </c>
    </row>
    <row r="9" spans="1:8" x14ac:dyDescent="0.4">
      <c r="A9">
        <f>ColorIndex(A2)</f>
        <v>43</v>
      </c>
    </row>
    <row r="150" spans="5:5" x14ac:dyDescent="0.4">
      <c r="E150" t="e">
        <f>IF(E149="-",0,RANK(E149,($E149:$H149),1))</f>
        <v>#N/A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6</vt:i4>
      </vt:variant>
    </vt:vector>
  </HeadingPairs>
  <TitlesOfParts>
    <vt:vector size="11" baseType="lpstr">
      <vt:lpstr>自動計分表</vt:lpstr>
      <vt:lpstr>區隊積分統計</vt:lpstr>
      <vt:lpstr>賽程表</vt:lpstr>
      <vt:lpstr>計分表(手動計分用)</vt:lpstr>
      <vt:lpstr>測試積分</vt:lpstr>
      <vt:lpstr>自動計分表!Print_Area</vt:lpstr>
      <vt:lpstr>區隊積分統計!Print_Area</vt:lpstr>
      <vt:lpstr>賽程表!Print_Area</vt:lpstr>
      <vt:lpstr>自動計分表!Print_Titles</vt:lpstr>
      <vt:lpstr>區隊積分統計!Print_Titles</vt:lpstr>
      <vt:lpstr>賽程表!Print_Titles</vt:lpstr>
    </vt:vector>
  </TitlesOfParts>
  <Company>ITRI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Stevennick Ciou</dc:creator>
  <cp:lastModifiedBy>0453841</cp:lastModifiedBy>
  <cp:lastPrinted>2017-06-16T09:04:09Z</cp:lastPrinted>
  <dcterms:created xsi:type="dcterms:W3CDTF">2015-07-22T02:05:07Z</dcterms:created>
  <dcterms:modified xsi:type="dcterms:W3CDTF">2017-06-21T12:55:55Z</dcterms:modified>
</cp:coreProperties>
</file>